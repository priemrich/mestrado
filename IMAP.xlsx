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ml.chartshape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ml.chartshape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cen-my.sharepoint.com/personal/filipe_lopes_bcb_gov_br/Documents/Dissertação de mestrado/MESTRADO/DISSERTAÇÃO/2026/"/>
    </mc:Choice>
  </mc:AlternateContent>
  <xr:revisionPtr revIDLastSave="330" documentId="8_{3776975D-8D0F-4603-A09F-F0B679F20540}" xr6:coauthVersionLast="47" xr6:coauthVersionMax="47" xr10:uidLastSave="{1DE250AF-5B0E-4669-84A7-2D5AF3B858A8}"/>
  <bookViews>
    <workbookView xWindow="-120" yWindow="-120" windowWidth="29040" windowHeight="15720" xr2:uid="{EC684D71-E525-4BE6-A766-53088DA435BC}"/>
  </bookViews>
  <sheets>
    <sheet name="Explicação indicadores" sheetId="2" r:id="rId1"/>
    <sheet name="Resultados" sheetId="1" r:id="rId2"/>
    <sheet name="Pesos" sheetId="5" r:id="rId3"/>
    <sheet name="Resultados IMAP" sheetId="6" r:id="rId4"/>
    <sheet name="Resultados IMAP - ranking" sheetId="7" r:id="rId5"/>
    <sheet name="Lorenz IMAP" sheetId="8" r:id="rId6"/>
    <sheet name="Lorenz Caminhabilidade" sheetId="9" r:id="rId7"/>
    <sheet name="Lorenz Ciclabilidade" sheetId="10" r:id="rId8"/>
    <sheet name="Lorenz Transp.Público" sheetId="11" r:id="rId9"/>
    <sheet name="Lorenz Prox.Territorial" sheetId="12" r:id="rId10"/>
    <sheet name="Lorenz Aspectos Ambientais" sheetId="13" r:id="rId11"/>
    <sheet name="Comparativo Gini" sheetId="14" r:id="rId12"/>
  </sheets>
  <definedNames>
    <definedName name="_xlnm._FilterDatabase" localSheetId="10" hidden="1">'Lorenz Aspectos Ambientais'!$A$2:$H$2</definedName>
    <definedName name="_xlnm._FilterDatabase" localSheetId="6" hidden="1">'Lorenz Caminhabilidade'!$A$2:$H$2</definedName>
    <definedName name="_xlnm._FilterDatabase" localSheetId="7" hidden="1">'Lorenz Ciclabilidade'!$A$2:$H$2</definedName>
    <definedName name="_xlnm._FilterDatabase" localSheetId="5" hidden="1">'Lorenz IMAP'!$A$2:$H$2</definedName>
    <definedName name="_xlnm._FilterDatabase" localSheetId="9" hidden="1">'Lorenz Prox.Territorial'!$A$2:$H$2</definedName>
    <definedName name="_xlnm._FilterDatabase" localSheetId="8" hidden="1">'Lorenz Transp.Público'!$A$2:$H$2</definedName>
    <definedName name="_xlnm._FilterDatabase" localSheetId="4" hidden="1">'Resultados IMAP - ranking'!$A$2:$H$2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10" l="1"/>
  <c r="E38" i="10"/>
  <c r="F38" i="10"/>
  <c r="G38" i="10"/>
  <c r="C38" i="10"/>
  <c r="K6" i="13"/>
  <c r="K7" i="13"/>
  <c r="K8" i="13"/>
  <c r="K9" i="13"/>
  <c r="K10" i="13"/>
  <c r="K11" i="13"/>
  <c r="K12" i="13"/>
  <c r="K13" i="13"/>
  <c r="K14" i="13"/>
  <c r="K15" i="13"/>
  <c r="K16" i="13"/>
  <c r="K17" i="13"/>
  <c r="K18" i="13" s="1"/>
  <c r="K19" i="13" s="1"/>
  <c r="K20" i="13" s="1"/>
  <c r="K21" i="13" s="1"/>
  <c r="K22" i="13" s="1"/>
  <c r="K23" i="13" s="1"/>
  <c r="K24" i="13" s="1"/>
  <c r="K25" i="13" s="1"/>
  <c r="K26" i="13" s="1"/>
  <c r="K27" i="13" s="1"/>
  <c r="K28" i="13" s="1"/>
  <c r="K29" i="13" s="1"/>
  <c r="K30" i="13" s="1"/>
  <c r="K31" i="13" s="1"/>
  <c r="K32" i="13" s="1"/>
  <c r="K33" i="13" s="1"/>
  <c r="K34" i="13" s="1"/>
  <c r="K35" i="13" s="1"/>
  <c r="K36" i="13" s="1"/>
  <c r="K37" i="13" s="1"/>
  <c r="K38" i="13" s="1"/>
  <c r="K5" i="13"/>
  <c r="K4" i="13"/>
  <c r="N38" i="13"/>
  <c r="X37" i="13"/>
  <c r="N37" i="13"/>
  <c r="N36" i="13"/>
  <c r="Y35" i="13"/>
  <c r="X35" i="13"/>
  <c r="N35" i="13"/>
  <c r="N34" i="13"/>
  <c r="X33" i="13"/>
  <c r="N33" i="13"/>
  <c r="N32" i="13"/>
  <c r="Y31" i="13"/>
  <c r="X31" i="13"/>
  <c r="N31" i="13"/>
  <c r="N30" i="13"/>
  <c r="X30" i="13" s="1"/>
  <c r="X29" i="13"/>
  <c r="N29" i="13"/>
  <c r="N28" i="13"/>
  <c r="Y27" i="13"/>
  <c r="X27" i="13"/>
  <c r="N27" i="13"/>
  <c r="N26" i="13"/>
  <c r="Y26" i="13" s="1"/>
  <c r="N25" i="13"/>
  <c r="N24" i="13"/>
  <c r="Y23" i="13"/>
  <c r="X23" i="13"/>
  <c r="N23" i="13"/>
  <c r="Y22" i="13"/>
  <c r="X22" i="13"/>
  <c r="N22" i="13"/>
  <c r="N21" i="13"/>
  <c r="N20" i="13"/>
  <c r="Y19" i="13"/>
  <c r="X19" i="13"/>
  <c r="N19" i="13"/>
  <c r="N18" i="13"/>
  <c r="N17" i="13"/>
  <c r="Y17" i="13" s="1"/>
  <c r="N16" i="13"/>
  <c r="Y15" i="13"/>
  <c r="X15" i="13"/>
  <c r="N15" i="13"/>
  <c r="Y14" i="13"/>
  <c r="X14" i="13"/>
  <c r="N14" i="13"/>
  <c r="Y13" i="13"/>
  <c r="N13" i="13"/>
  <c r="N12" i="13"/>
  <c r="Y11" i="13"/>
  <c r="X11" i="13"/>
  <c r="N11" i="13"/>
  <c r="Y10" i="13"/>
  <c r="X10" i="13"/>
  <c r="N10" i="13"/>
  <c r="N9" i="13"/>
  <c r="N8" i="13"/>
  <c r="Y7" i="13"/>
  <c r="X7" i="13"/>
  <c r="N7" i="13"/>
  <c r="N6" i="13"/>
  <c r="N5" i="13"/>
  <c r="N4" i="13"/>
  <c r="Y3" i="13"/>
  <c r="X3" i="13"/>
  <c r="N3" i="13"/>
  <c r="K6" i="12"/>
  <c r="K7" i="12"/>
  <c r="K8" i="12" s="1"/>
  <c r="K9" i="12" s="1"/>
  <c r="K10" i="12" s="1"/>
  <c r="K11" i="12" s="1"/>
  <c r="K12" i="12" s="1"/>
  <c r="K13" i="12" s="1"/>
  <c r="K14" i="12" s="1"/>
  <c r="K15" i="12" s="1"/>
  <c r="K16" i="12" s="1"/>
  <c r="K17" i="12" s="1"/>
  <c r="K18" i="12" s="1"/>
  <c r="K19" i="12" s="1"/>
  <c r="K20" i="12" s="1"/>
  <c r="K21" i="12" s="1"/>
  <c r="K22" i="12" s="1"/>
  <c r="K23" i="12" s="1"/>
  <c r="K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35" i="12" s="1"/>
  <c r="K36" i="12" s="1"/>
  <c r="K37" i="12" s="1"/>
  <c r="K38" i="12" s="1"/>
  <c r="K5" i="12"/>
  <c r="K4" i="12"/>
  <c r="Y38" i="12"/>
  <c r="X38" i="12"/>
  <c r="N38" i="12"/>
  <c r="Y37" i="12"/>
  <c r="N37" i="12"/>
  <c r="X37" i="12" s="1"/>
  <c r="N36" i="12"/>
  <c r="N35" i="12"/>
  <c r="Y34" i="12"/>
  <c r="X34" i="12"/>
  <c r="N34" i="12"/>
  <c r="N33" i="12"/>
  <c r="Y33" i="12" s="1"/>
  <c r="N32" i="12"/>
  <c r="N31" i="12"/>
  <c r="Y30" i="12"/>
  <c r="X30" i="12"/>
  <c r="N30" i="12"/>
  <c r="N29" i="12"/>
  <c r="X29" i="12" s="1"/>
  <c r="N28" i="12"/>
  <c r="X28" i="12" s="1"/>
  <c r="N27" i="12"/>
  <c r="Y26" i="12"/>
  <c r="X26" i="12"/>
  <c r="N26" i="12"/>
  <c r="N25" i="12"/>
  <c r="Y24" i="12"/>
  <c r="X24" i="12"/>
  <c r="N24" i="12"/>
  <c r="N23" i="12"/>
  <c r="Y22" i="12"/>
  <c r="X22" i="12"/>
  <c r="N22" i="12"/>
  <c r="N21" i="12"/>
  <c r="N20" i="12"/>
  <c r="N19" i="12"/>
  <c r="Y18" i="12"/>
  <c r="X18" i="12"/>
  <c r="N18" i="12"/>
  <c r="Y17" i="12"/>
  <c r="N17" i="12"/>
  <c r="X17" i="12" s="1"/>
  <c r="N16" i="12"/>
  <c r="N15" i="12"/>
  <c r="Y14" i="12"/>
  <c r="X14" i="12"/>
  <c r="N14" i="12"/>
  <c r="N13" i="12"/>
  <c r="Y12" i="12"/>
  <c r="X12" i="12"/>
  <c r="N12" i="12"/>
  <c r="N11" i="12"/>
  <c r="Y10" i="12"/>
  <c r="X10" i="12"/>
  <c r="N10" i="12"/>
  <c r="N9" i="12"/>
  <c r="N8" i="12"/>
  <c r="N7" i="12"/>
  <c r="Y6" i="12"/>
  <c r="X6" i="12"/>
  <c r="N6" i="12"/>
  <c r="Y5" i="12"/>
  <c r="X5" i="12"/>
  <c r="N5" i="12"/>
  <c r="N4" i="12"/>
  <c r="L5" i="12"/>
  <c r="N3" i="12"/>
  <c r="X3" i="11"/>
  <c r="Y3" i="11"/>
  <c r="Z3" i="11"/>
  <c r="AA3" i="11"/>
  <c r="X4" i="11"/>
  <c r="Y4" i="11"/>
  <c r="Z4" i="11"/>
  <c r="AA4" i="11"/>
  <c r="X5" i="11"/>
  <c r="Y5" i="11"/>
  <c r="Z5" i="11"/>
  <c r="AA5" i="11"/>
  <c r="X6" i="11"/>
  <c r="Y6" i="11"/>
  <c r="Z6" i="11"/>
  <c r="AA6" i="11"/>
  <c r="X7" i="11"/>
  <c r="Y7" i="11"/>
  <c r="Z7" i="11"/>
  <c r="AA7" i="11"/>
  <c r="X8" i="11"/>
  <c r="Y8" i="11"/>
  <c r="Z8" i="11"/>
  <c r="AA8" i="11"/>
  <c r="X9" i="11"/>
  <c r="Y9" i="11"/>
  <c r="Z9" i="11"/>
  <c r="AA9" i="11"/>
  <c r="X10" i="11"/>
  <c r="Y10" i="11"/>
  <c r="Z10" i="11"/>
  <c r="AA10" i="11"/>
  <c r="X11" i="11"/>
  <c r="Y11" i="11"/>
  <c r="Z11" i="11"/>
  <c r="AA11" i="11"/>
  <c r="X12" i="11"/>
  <c r="Y12" i="11"/>
  <c r="Z12" i="11"/>
  <c r="AA12" i="11"/>
  <c r="X13" i="11"/>
  <c r="Y13" i="11"/>
  <c r="Z13" i="11"/>
  <c r="AA13" i="11"/>
  <c r="X14" i="11"/>
  <c r="Y14" i="11"/>
  <c r="Z14" i="11"/>
  <c r="AA14" i="11"/>
  <c r="X15" i="11"/>
  <c r="Y15" i="11"/>
  <c r="Z15" i="11"/>
  <c r="AA15" i="11"/>
  <c r="X16" i="11"/>
  <c r="Y16" i="11"/>
  <c r="Z16" i="11"/>
  <c r="AA16" i="11"/>
  <c r="X17" i="11"/>
  <c r="Y17" i="11"/>
  <c r="Z17" i="11"/>
  <c r="AA17" i="11"/>
  <c r="X18" i="11"/>
  <c r="Y18" i="11"/>
  <c r="Z18" i="11"/>
  <c r="AA18" i="11"/>
  <c r="X19" i="11"/>
  <c r="Y19" i="11"/>
  <c r="Z19" i="11"/>
  <c r="AA19" i="11"/>
  <c r="X20" i="11"/>
  <c r="Y20" i="11"/>
  <c r="Z20" i="11"/>
  <c r="AA20" i="11"/>
  <c r="X21" i="11"/>
  <c r="Y21" i="11"/>
  <c r="Z21" i="11"/>
  <c r="AA21" i="11"/>
  <c r="X22" i="11"/>
  <c r="Y22" i="11"/>
  <c r="Z22" i="11"/>
  <c r="AA22" i="11"/>
  <c r="X23" i="11"/>
  <c r="Y23" i="11"/>
  <c r="Z23" i="11"/>
  <c r="AA23" i="11"/>
  <c r="X24" i="11"/>
  <c r="Y24" i="11"/>
  <c r="Z24" i="11"/>
  <c r="AA24" i="11"/>
  <c r="X25" i="11"/>
  <c r="Y25" i="11"/>
  <c r="Z25" i="11"/>
  <c r="AA25" i="11"/>
  <c r="X26" i="11"/>
  <c r="Y26" i="11"/>
  <c r="Z26" i="11"/>
  <c r="AA26" i="11"/>
  <c r="X27" i="11"/>
  <c r="Y27" i="11"/>
  <c r="Z27" i="11"/>
  <c r="AA27" i="11"/>
  <c r="X28" i="11"/>
  <c r="Y28" i="11"/>
  <c r="Z28" i="11"/>
  <c r="AA28" i="11"/>
  <c r="X29" i="11"/>
  <c r="Y29" i="11"/>
  <c r="Z29" i="11"/>
  <c r="AA29" i="11"/>
  <c r="X30" i="11"/>
  <c r="Y30" i="11"/>
  <c r="Z30" i="11"/>
  <c r="AA30" i="11"/>
  <c r="X31" i="11"/>
  <c r="Y31" i="11"/>
  <c r="Z31" i="11"/>
  <c r="AA31" i="11"/>
  <c r="X32" i="11"/>
  <c r="Y32" i="11"/>
  <c r="Z32" i="11"/>
  <c r="AA32" i="11"/>
  <c r="X33" i="11"/>
  <c r="Y33" i="11"/>
  <c r="Z33" i="11"/>
  <c r="AA33" i="11"/>
  <c r="X34" i="11"/>
  <c r="Y34" i="11"/>
  <c r="Z34" i="11"/>
  <c r="AA34" i="11"/>
  <c r="X35" i="11"/>
  <c r="Y35" i="11"/>
  <c r="Z35" i="11"/>
  <c r="AA35" i="11"/>
  <c r="X36" i="11"/>
  <c r="Y36" i="11"/>
  <c r="Z36" i="11"/>
  <c r="AA36" i="11"/>
  <c r="X37" i="11"/>
  <c r="Y37" i="11"/>
  <c r="Z37" i="11"/>
  <c r="AA37" i="11"/>
  <c r="X38" i="11"/>
  <c r="Y38" i="11"/>
  <c r="Z38" i="11"/>
  <c r="AA38" i="11"/>
  <c r="K6" i="11"/>
  <c r="K7" i="11" s="1"/>
  <c r="K8" i="11" s="1"/>
  <c r="K9" i="11" s="1"/>
  <c r="K10" i="11" s="1"/>
  <c r="K11" i="11" s="1"/>
  <c r="K12" i="11" s="1"/>
  <c r="K13" i="11" s="1"/>
  <c r="K14" i="11" s="1"/>
  <c r="K15" i="11" s="1"/>
  <c r="K16" i="11" s="1"/>
  <c r="K17" i="11" s="1"/>
  <c r="K18" i="11" s="1"/>
  <c r="K19" i="11" s="1"/>
  <c r="K20" i="11" s="1"/>
  <c r="K21" i="11" s="1"/>
  <c r="K22" i="11" s="1"/>
  <c r="K23" i="11" s="1"/>
  <c r="K24" i="11" s="1"/>
  <c r="K25" i="11" s="1"/>
  <c r="K26" i="11" s="1"/>
  <c r="K27" i="11" s="1"/>
  <c r="K28" i="11" s="1"/>
  <c r="K29" i="11" s="1"/>
  <c r="K30" i="11" s="1"/>
  <c r="K31" i="11" s="1"/>
  <c r="K32" i="11" s="1"/>
  <c r="K33" i="11" s="1"/>
  <c r="K34" i="11" s="1"/>
  <c r="K35" i="11" s="1"/>
  <c r="K36" i="11" s="1"/>
  <c r="K37" i="11" s="1"/>
  <c r="K38" i="11" s="1"/>
  <c r="K5" i="11"/>
  <c r="K4" i="11"/>
  <c r="N38" i="11"/>
  <c r="N37" i="11"/>
  <c r="N36" i="11"/>
  <c r="N35" i="11"/>
  <c r="N34" i="11"/>
  <c r="N33" i="11"/>
  <c r="N32" i="11"/>
  <c r="N31" i="11"/>
  <c r="N30" i="11"/>
  <c r="N29" i="11"/>
  <c r="N28" i="11"/>
  <c r="N27" i="11"/>
  <c r="N26" i="11"/>
  <c r="N25" i="11"/>
  <c r="N24" i="11"/>
  <c r="N23" i="11"/>
  <c r="N22" i="11"/>
  <c r="N21" i="11"/>
  <c r="N20" i="11"/>
  <c r="N19" i="11"/>
  <c r="N18" i="11"/>
  <c r="N17" i="11"/>
  <c r="N16" i="11"/>
  <c r="N15" i="11"/>
  <c r="N14" i="11"/>
  <c r="N13" i="11"/>
  <c r="N12" i="11"/>
  <c r="N11" i="11"/>
  <c r="N10" i="11"/>
  <c r="N9" i="11"/>
  <c r="N8" i="11"/>
  <c r="N7" i="11"/>
  <c r="N6" i="11"/>
  <c r="N5" i="11"/>
  <c r="N4" i="11"/>
  <c r="L4" i="11"/>
  <c r="N3" i="11"/>
  <c r="K6" i="10"/>
  <c r="K7" i="10" s="1"/>
  <c r="K8" i="10" s="1"/>
  <c r="K9" i="10" s="1"/>
  <c r="K10" i="10" s="1"/>
  <c r="K11" i="10" s="1"/>
  <c r="K12" i="10" s="1"/>
  <c r="K13" i="10" s="1"/>
  <c r="K14" i="10" s="1"/>
  <c r="K15" i="10" s="1"/>
  <c r="K16" i="10" s="1"/>
  <c r="K17" i="10" s="1"/>
  <c r="K18" i="10" s="1"/>
  <c r="K19" i="10" s="1"/>
  <c r="K20" i="10" s="1"/>
  <c r="K21" i="10" s="1"/>
  <c r="K22" i="10" s="1"/>
  <c r="K23" i="10" s="1"/>
  <c r="K24" i="10" s="1"/>
  <c r="K25" i="10" s="1"/>
  <c r="K26" i="10" s="1"/>
  <c r="K27" i="10" s="1"/>
  <c r="K28" i="10" s="1"/>
  <c r="K29" i="10" s="1"/>
  <c r="K30" i="10" s="1"/>
  <c r="K31" i="10" s="1"/>
  <c r="K32" i="10" s="1"/>
  <c r="K33" i="10" s="1"/>
  <c r="K34" i="10" s="1"/>
  <c r="K35" i="10" s="1"/>
  <c r="K36" i="10" s="1"/>
  <c r="K37" i="10" s="1"/>
  <c r="K38" i="10" s="1"/>
  <c r="K5" i="10"/>
  <c r="K4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S4" i="9"/>
  <c r="K6" i="9"/>
  <c r="K7" i="9"/>
  <c r="K8" i="9"/>
  <c r="K9" i="9" s="1"/>
  <c r="K10" i="9" s="1"/>
  <c r="K11" i="9" s="1"/>
  <c r="K12" i="9" s="1"/>
  <c r="K13" i="9" s="1"/>
  <c r="K14" i="9" s="1"/>
  <c r="K15" i="9" s="1"/>
  <c r="K16" i="9" s="1"/>
  <c r="K17" i="9" s="1"/>
  <c r="K18" i="9" s="1"/>
  <c r="K19" i="9" s="1"/>
  <c r="K20" i="9" s="1"/>
  <c r="K21" i="9" s="1"/>
  <c r="K22" i="9" s="1"/>
  <c r="K23" i="9" s="1"/>
  <c r="K24" i="9" s="1"/>
  <c r="K25" i="9" s="1"/>
  <c r="K26" i="9" s="1"/>
  <c r="K27" i="9" s="1"/>
  <c r="K28" i="9" s="1"/>
  <c r="K29" i="9" s="1"/>
  <c r="K30" i="9" s="1"/>
  <c r="K31" i="9" s="1"/>
  <c r="K32" i="9" s="1"/>
  <c r="K33" i="9" s="1"/>
  <c r="K34" i="9" s="1"/>
  <c r="K35" i="9" s="1"/>
  <c r="K36" i="9" s="1"/>
  <c r="K37" i="9" s="1"/>
  <c r="K38" i="9" s="1"/>
  <c r="K5" i="9"/>
  <c r="K4" i="9"/>
  <c r="N3" i="9"/>
  <c r="L4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Y9" i="13" l="1"/>
  <c r="X9" i="13"/>
  <c r="Y32" i="13"/>
  <c r="X32" i="13"/>
  <c r="L5" i="13"/>
  <c r="L4" i="13"/>
  <c r="Y4" i="13"/>
  <c r="X4" i="13"/>
  <c r="Y12" i="13"/>
  <c r="X12" i="13"/>
  <c r="X17" i="13"/>
  <c r="Y18" i="13"/>
  <c r="X18" i="13"/>
  <c r="Y34" i="13"/>
  <c r="X34" i="13"/>
  <c r="X5" i="13"/>
  <c r="Y24" i="13"/>
  <c r="X24" i="13"/>
  <c r="Y38" i="13"/>
  <c r="X38" i="13"/>
  <c r="Y30" i="13"/>
  <c r="Y28" i="13"/>
  <c r="X28" i="13"/>
  <c r="Y21" i="13"/>
  <c r="X21" i="13"/>
  <c r="X26" i="13"/>
  <c r="Y5" i="13"/>
  <c r="Y6" i="13"/>
  <c r="X6" i="13"/>
  <c r="Y16" i="13"/>
  <c r="X16" i="13"/>
  <c r="Y36" i="13"/>
  <c r="X36" i="13"/>
  <c r="Y25" i="13"/>
  <c r="Y29" i="13"/>
  <c r="Y8" i="13"/>
  <c r="X8" i="13"/>
  <c r="Y20" i="13"/>
  <c r="X20" i="13"/>
  <c r="Y33" i="13"/>
  <c r="X13" i="13"/>
  <c r="X25" i="13"/>
  <c r="Y37" i="13"/>
  <c r="L4" i="12"/>
  <c r="X9" i="12"/>
  <c r="X21" i="12"/>
  <c r="Y36" i="12"/>
  <c r="Y9" i="12"/>
  <c r="Y11" i="12"/>
  <c r="X11" i="12"/>
  <c r="Y21" i="12"/>
  <c r="Y23" i="12"/>
  <c r="X23" i="12"/>
  <c r="Y19" i="12"/>
  <c r="X19" i="12"/>
  <c r="Y28" i="12"/>
  <c r="L6" i="12"/>
  <c r="X4" i="12"/>
  <c r="X13" i="12"/>
  <c r="X25" i="12"/>
  <c r="Y3" i="12"/>
  <c r="X3" i="12"/>
  <c r="Y13" i="12"/>
  <c r="Y15" i="12"/>
  <c r="X15" i="12"/>
  <c r="Y25" i="12"/>
  <c r="Y27" i="12"/>
  <c r="X27" i="12"/>
  <c r="Y32" i="12"/>
  <c r="X32" i="12"/>
  <c r="X20" i="12"/>
  <c r="X36" i="12"/>
  <c r="X8" i="12"/>
  <c r="Y31" i="12"/>
  <c r="X31" i="12"/>
  <c r="Y8" i="12"/>
  <c r="Y20" i="12"/>
  <c r="Y29" i="12"/>
  <c r="X33" i="12"/>
  <c r="Y35" i="12"/>
  <c r="X35" i="12"/>
  <c r="Y7" i="12"/>
  <c r="X7" i="12"/>
  <c r="X16" i="12"/>
  <c r="Y4" i="12"/>
  <c r="Y16" i="12"/>
  <c r="L6" i="11"/>
  <c r="L5" i="10"/>
  <c r="L4" i="10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" i="8"/>
  <c r="K4" i="8"/>
  <c r="L4" i="8" s="1"/>
  <c r="H4" i="5"/>
  <c r="AC3" i="6" s="1"/>
  <c r="H5" i="5"/>
  <c r="H6" i="5"/>
  <c r="H7" i="5"/>
  <c r="H8" i="5"/>
  <c r="H9" i="5"/>
  <c r="V4" i="6" s="1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3" i="5"/>
  <c r="X37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E17" i="1"/>
  <c r="D17" i="1"/>
  <c r="H31" i="1"/>
  <c r="P31" i="1"/>
  <c r="Z31" i="1"/>
  <c r="AF31" i="1"/>
  <c r="AK31" i="1"/>
  <c r="AL31" i="1"/>
  <c r="G30" i="1"/>
  <c r="H30" i="1"/>
  <c r="AE30" i="1"/>
  <c r="AK30" i="1"/>
  <c r="D30" i="1"/>
  <c r="E29" i="1"/>
  <c r="E31" i="1" s="1"/>
  <c r="F29" i="1"/>
  <c r="F31" i="1" s="1"/>
  <c r="G29" i="1"/>
  <c r="G31" i="1" s="1"/>
  <c r="H29" i="1"/>
  <c r="I29" i="1"/>
  <c r="I30" i="1" s="1"/>
  <c r="J29" i="1"/>
  <c r="J30" i="1" s="1"/>
  <c r="K29" i="1"/>
  <c r="K30" i="1" s="1"/>
  <c r="L29" i="1"/>
  <c r="L30" i="1" s="1"/>
  <c r="M29" i="1"/>
  <c r="M30" i="1" s="1"/>
  <c r="N29" i="1"/>
  <c r="N30" i="1" s="1"/>
  <c r="O29" i="1"/>
  <c r="O31" i="1" s="1"/>
  <c r="P29" i="1"/>
  <c r="P30" i="1" s="1"/>
  <c r="Q29" i="1"/>
  <c r="Q31" i="1" s="1"/>
  <c r="R29" i="1"/>
  <c r="R30" i="1" s="1"/>
  <c r="S29" i="1"/>
  <c r="S31" i="1" s="1"/>
  <c r="T29" i="1"/>
  <c r="T30" i="1" s="1"/>
  <c r="U29" i="1"/>
  <c r="U30" i="1" s="1"/>
  <c r="V29" i="1"/>
  <c r="V30" i="1" s="1"/>
  <c r="W29" i="1"/>
  <c r="W30" i="1" s="1"/>
  <c r="X29" i="1"/>
  <c r="X30" i="1" s="1"/>
  <c r="Y29" i="1"/>
  <c r="Y31" i="1" s="1"/>
  <c r="Z29" i="1"/>
  <c r="Z30" i="1" s="1"/>
  <c r="AA29" i="1"/>
  <c r="AA30" i="1" s="1"/>
  <c r="AB29" i="1"/>
  <c r="AB30" i="1" s="1"/>
  <c r="AC29" i="1"/>
  <c r="AC31" i="1" s="1"/>
  <c r="AD29" i="1"/>
  <c r="AD31" i="1" s="1"/>
  <c r="AE29" i="1"/>
  <c r="AE31" i="1" s="1"/>
  <c r="AF29" i="1"/>
  <c r="AF30" i="1" s="1"/>
  <c r="AG29" i="1"/>
  <c r="AG30" i="1" s="1"/>
  <c r="AH29" i="1"/>
  <c r="AH30" i="1" s="1"/>
  <c r="AI29" i="1"/>
  <c r="AI30" i="1" s="1"/>
  <c r="AJ29" i="1"/>
  <c r="AJ30" i="1" s="1"/>
  <c r="AK29" i="1"/>
  <c r="AL29" i="1"/>
  <c r="AL30" i="1" s="1"/>
  <c r="D29" i="1"/>
  <c r="D31" i="1" s="1"/>
  <c r="F25" i="1"/>
  <c r="G25" i="1"/>
  <c r="H25" i="1"/>
  <c r="I25" i="1"/>
  <c r="J25" i="1"/>
  <c r="K25" i="1"/>
  <c r="L25" i="1"/>
  <c r="M25" i="1"/>
  <c r="N25" i="1"/>
  <c r="N26" i="1" s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H27" i="1" s="1"/>
  <c r="AI25" i="1"/>
  <c r="AJ25" i="1"/>
  <c r="AK25" i="1"/>
  <c r="AL25" i="1"/>
  <c r="AL27" i="1" s="1"/>
  <c r="E25" i="1"/>
  <c r="D25" i="1"/>
  <c r="D27" i="1" s="1"/>
  <c r="T12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D16" i="1"/>
  <c r="E23" i="1"/>
  <c r="F23" i="1"/>
  <c r="G23" i="1"/>
  <c r="H23" i="1"/>
  <c r="I23" i="1"/>
  <c r="K23" i="1"/>
  <c r="L23" i="1"/>
  <c r="M23" i="1"/>
  <c r="N23" i="1"/>
  <c r="O23" i="1"/>
  <c r="P23" i="1"/>
  <c r="R23" i="1"/>
  <c r="S23" i="1"/>
  <c r="U23" i="1"/>
  <c r="V23" i="1"/>
  <c r="W23" i="1"/>
  <c r="Y23" i="1"/>
  <c r="AA23" i="1"/>
  <c r="AC23" i="1"/>
  <c r="AD23" i="1"/>
  <c r="AI23" i="1"/>
  <c r="D23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D20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I14" i="1" s="1"/>
  <c r="AJ12" i="1"/>
  <c r="AK12" i="1"/>
  <c r="AL12" i="1"/>
  <c r="D12" i="1"/>
  <c r="D8" i="1"/>
  <c r="D37" i="1"/>
  <c r="AL21" i="1"/>
  <c r="AL23" i="1" s="1"/>
  <c r="AL8" i="1"/>
  <c r="AK32" i="1"/>
  <c r="AK21" i="1"/>
  <c r="AK23" i="1" s="1"/>
  <c r="AK8" i="1"/>
  <c r="AJ21" i="1"/>
  <c r="AJ23" i="1" s="1"/>
  <c r="AJ8" i="1"/>
  <c r="AI8" i="1"/>
  <c r="AH21" i="1"/>
  <c r="AH23" i="1" s="1"/>
  <c r="AH8" i="1"/>
  <c r="Z21" i="1"/>
  <c r="Z23" i="1" s="1"/>
  <c r="X21" i="1"/>
  <c r="X23" i="1" s="1"/>
  <c r="R3" i="6" l="1"/>
  <c r="AH5" i="6"/>
  <c r="Q3" i="6"/>
  <c r="E3" i="6"/>
  <c r="J4" i="6"/>
  <c r="T4" i="6"/>
  <c r="I26" i="5"/>
  <c r="C4" i="6"/>
  <c r="Z7" i="6"/>
  <c r="AD3" i="6"/>
  <c r="D7" i="6"/>
  <c r="AJ6" i="6"/>
  <c r="AB7" i="6"/>
  <c r="V5" i="6"/>
  <c r="U5" i="6"/>
  <c r="S4" i="6"/>
  <c r="M4" i="6"/>
  <c r="X7" i="6"/>
  <c r="J5" i="6"/>
  <c r="W7" i="6"/>
  <c r="I5" i="6"/>
  <c r="I4" i="6"/>
  <c r="P7" i="6"/>
  <c r="AH4" i="6"/>
  <c r="P4" i="6"/>
  <c r="AH6" i="6"/>
  <c r="N7" i="6"/>
  <c r="AF4" i="6"/>
  <c r="O4" i="6"/>
  <c r="M7" i="6"/>
  <c r="AE4" i="6"/>
  <c r="H4" i="6"/>
  <c r="L7" i="6"/>
  <c r="AD4" i="6"/>
  <c r="G4" i="6"/>
  <c r="Y7" i="6"/>
  <c r="R4" i="6"/>
  <c r="Q4" i="6"/>
  <c r="K7" i="6"/>
  <c r="AC4" i="6"/>
  <c r="F4" i="6"/>
  <c r="F3" i="6"/>
  <c r="AB4" i="6"/>
  <c r="E4" i="6"/>
  <c r="G5" i="6"/>
  <c r="B4" i="6"/>
  <c r="AA4" i="6"/>
  <c r="D4" i="6"/>
  <c r="AI6" i="6"/>
  <c r="N6" i="6"/>
  <c r="Z6" i="6"/>
  <c r="AC6" i="6"/>
  <c r="AE6" i="6"/>
  <c r="E6" i="6"/>
  <c r="Q6" i="6"/>
  <c r="F6" i="6"/>
  <c r="R6" i="6"/>
  <c r="AD6" i="6"/>
  <c r="B6" i="6"/>
  <c r="G6" i="6"/>
  <c r="S6" i="6"/>
  <c r="H6" i="6"/>
  <c r="T6" i="6"/>
  <c r="AF6" i="6"/>
  <c r="I6" i="6"/>
  <c r="U6" i="6"/>
  <c r="AG6" i="6"/>
  <c r="J6" i="6"/>
  <c r="M6" i="6"/>
  <c r="W6" i="6"/>
  <c r="L6" i="6"/>
  <c r="X6" i="6"/>
  <c r="V6" i="6"/>
  <c r="H5" i="6"/>
  <c r="AF5" i="6"/>
  <c r="T5" i="6"/>
  <c r="G3" i="6"/>
  <c r="S3" i="6"/>
  <c r="AE3" i="6"/>
  <c r="H3" i="6"/>
  <c r="T3" i="6"/>
  <c r="AF3" i="6"/>
  <c r="I3" i="6"/>
  <c r="U3" i="6"/>
  <c r="AG3" i="6"/>
  <c r="J3" i="6"/>
  <c r="V3" i="6"/>
  <c r="AH3" i="6"/>
  <c r="K3" i="6"/>
  <c r="W3" i="6"/>
  <c r="AI3" i="6"/>
  <c r="L3" i="6"/>
  <c r="X3" i="6"/>
  <c r="AJ3" i="6"/>
  <c r="M3" i="6"/>
  <c r="Y3" i="6"/>
  <c r="Z3" i="6"/>
  <c r="C3" i="6"/>
  <c r="O3" i="6"/>
  <c r="AA3" i="6"/>
  <c r="B3" i="6"/>
  <c r="D3" i="6"/>
  <c r="P3" i="6"/>
  <c r="AB3" i="6"/>
  <c r="N3" i="6"/>
  <c r="K6" i="6"/>
  <c r="K5" i="6"/>
  <c r="AG5" i="6"/>
  <c r="AE5" i="6"/>
  <c r="S5" i="6"/>
  <c r="V7" i="6"/>
  <c r="J7" i="6"/>
  <c r="AD5" i="6"/>
  <c r="R5" i="6"/>
  <c r="F5" i="6"/>
  <c r="I25" i="5"/>
  <c r="AJ7" i="6" s="1"/>
  <c r="B5" i="6"/>
  <c r="AG7" i="6"/>
  <c r="U7" i="6"/>
  <c r="I7" i="6"/>
  <c r="AC5" i="6"/>
  <c r="Q5" i="6"/>
  <c r="E5" i="6"/>
  <c r="AH7" i="6"/>
  <c r="AF7" i="6"/>
  <c r="T7" i="6"/>
  <c r="H7" i="6"/>
  <c r="AB5" i="6"/>
  <c r="P5" i="6"/>
  <c r="D5" i="6"/>
  <c r="Z4" i="6"/>
  <c r="N4" i="6"/>
  <c r="B7" i="6"/>
  <c r="AE7" i="6"/>
  <c r="S7" i="6"/>
  <c r="G7" i="6"/>
  <c r="AA5" i="6"/>
  <c r="O5" i="6"/>
  <c r="C5" i="6"/>
  <c r="Y4" i="6"/>
  <c r="AD7" i="6"/>
  <c r="R7" i="6"/>
  <c r="F7" i="6"/>
  <c r="AB6" i="6"/>
  <c r="P6" i="6"/>
  <c r="D6" i="6"/>
  <c r="Z5" i="6"/>
  <c r="N5" i="6"/>
  <c r="AJ4" i="6"/>
  <c r="X4" i="6"/>
  <c r="L4" i="6"/>
  <c r="AC7" i="6"/>
  <c r="Q7" i="6"/>
  <c r="E7" i="6"/>
  <c r="AA6" i="6"/>
  <c r="O6" i="6"/>
  <c r="C6" i="6"/>
  <c r="Y5" i="6"/>
  <c r="M5" i="6"/>
  <c r="AI4" i="6"/>
  <c r="W4" i="6"/>
  <c r="K4" i="6"/>
  <c r="AJ5" i="6"/>
  <c r="X5" i="6"/>
  <c r="L5" i="6"/>
  <c r="AA7" i="6"/>
  <c r="O7" i="6"/>
  <c r="C7" i="6"/>
  <c r="Y6" i="6"/>
  <c r="AI5" i="6"/>
  <c r="W5" i="6"/>
  <c r="AG4" i="6"/>
  <c r="U4" i="6"/>
  <c r="L6" i="13"/>
  <c r="L7" i="12"/>
  <c r="L5" i="11"/>
  <c r="L6" i="10"/>
  <c r="L5" i="9"/>
  <c r="K5" i="8"/>
  <c r="L5" i="8" s="1"/>
  <c r="AK26" i="1"/>
  <c r="AC27" i="1"/>
  <c r="M26" i="1"/>
  <c r="D26" i="1"/>
  <c r="Z27" i="1"/>
  <c r="AB31" i="1"/>
  <c r="AJ26" i="1"/>
  <c r="AB27" i="1"/>
  <c r="T27" i="1"/>
  <c r="L26" i="1"/>
  <c r="AL26" i="1"/>
  <c r="N27" i="1"/>
  <c r="AA31" i="1"/>
  <c r="N31" i="1"/>
  <c r="AD26" i="1"/>
  <c r="M31" i="1"/>
  <c r="AF27" i="1"/>
  <c r="T31" i="1"/>
  <c r="AA26" i="1"/>
  <c r="J27" i="1"/>
  <c r="R26" i="1"/>
  <c r="E26" i="1"/>
  <c r="H27" i="1"/>
  <c r="Y30" i="1"/>
  <c r="Y26" i="1"/>
  <c r="Q27" i="1"/>
  <c r="O30" i="1"/>
  <c r="AJ31" i="1"/>
  <c r="X31" i="1"/>
  <c r="L31" i="1"/>
  <c r="S30" i="1"/>
  <c r="AH31" i="1"/>
  <c r="V31" i="1"/>
  <c r="J31" i="1"/>
  <c r="F26" i="1"/>
  <c r="S26" i="1"/>
  <c r="Z26" i="1"/>
  <c r="X26" i="1"/>
  <c r="P27" i="1"/>
  <c r="E27" i="1"/>
  <c r="AE26" i="1"/>
  <c r="O27" i="1"/>
  <c r="G26" i="1"/>
  <c r="AG31" i="1"/>
  <c r="U31" i="1"/>
  <c r="I31" i="1"/>
  <c r="AB26" i="1"/>
  <c r="AI31" i="1"/>
  <c r="W31" i="1"/>
  <c r="K31" i="1"/>
  <c r="AD30" i="1"/>
  <c r="AC30" i="1"/>
  <c r="AC26" i="1"/>
  <c r="AA27" i="1"/>
  <c r="V27" i="1"/>
  <c r="AH26" i="1"/>
  <c r="V26" i="1"/>
  <c r="J26" i="1"/>
  <c r="P26" i="1"/>
  <c r="F30" i="1"/>
  <c r="AI26" i="1"/>
  <c r="W26" i="1"/>
  <c r="K26" i="1"/>
  <c r="Q26" i="1"/>
  <c r="AG26" i="1"/>
  <c r="U26" i="1"/>
  <c r="I26" i="1"/>
  <c r="O26" i="1"/>
  <c r="R31" i="1"/>
  <c r="Q30" i="1"/>
  <c r="E30" i="1"/>
  <c r="AF26" i="1"/>
  <c r="T26" i="1"/>
  <c r="H26" i="1"/>
  <c r="AK27" i="1"/>
  <c r="Y27" i="1"/>
  <c r="M27" i="1"/>
  <c r="AJ27" i="1"/>
  <c r="X27" i="1"/>
  <c r="L27" i="1"/>
  <c r="AI27" i="1"/>
  <c r="W27" i="1"/>
  <c r="K27" i="1"/>
  <c r="AG27" i="1"/>
  <c r="U27" i="1"/>
  <c r="I27" i="1"/>
  <c r="AE27" i="1"/>
  <c r="S27" i="1"/>
  <c r="G27" i="1"/>
  <c r="R27" i="1"/>
  <c r="F27" i="1"/>
  <c r="AD27" i="1"/>
  <c r="N13" i="1"/>
  <c r="AJ14" i="1"/>
  <c r="X13" i="1"/>
  <c r="L14" i="1"/>
  <c r="H13" i="1"/>
  <c r="AH14" i="1"/>
  <c r="AI13" i="1"/>
  <c r="J14" i="1"/>
  <c r="AB14" i="1"/>
  <c r="P13" i="1"/>
  <c r="AJ13" i="1"/>
  <c r="O13" i="1"/>
  <c r="K14" i="1"/>
  <c r="V14" i="1"/>
  <c r="AK13" i="1"/>
  <c r="Y13" i="1"/>
  <c r="M14" i="1"/>
  <c r="AA14" i="1"/>
  <c r="Z14" i="1"/>
  <c r="O14" i="1"/>
  <c r="M13" i="1"/>
  <c r="AC13" i="1"/>
  <c r="L13" i="1"/>
  <c r="Y14" i="1"/>
  <c r="AB13" i="1"/>
  <c r="K13" i="1"/>
  <c r="X14" i="1"/>
  <c r="AA13" i="1"/>
  <c r="E13" i="1"/>
  <c r="W14" i="1"/>
  <c r="Z13" i="1"/>
  <c r="D14" i="1"/>
  <c r="AE13" i="1"/>
  <c r="S13" i="1"/>
  <c r="G13" i="1"/>
  <c r="AL14" i="1"/>
  <c r="P14" i="1"/>
  <c r="AD13" i="1"/>
  <c r="R13" i="1"/>
  <c r="F13" i="1"/>
  <c r="AK14" i="1"/>
  <c r="AC14" i="1"/>
  <c r="Q14" i="1"/>
  <c r="E14" i="1"/>
  <c r="W13" i="1"/>
  <c r="N14" i="1"/>
  <c r="D13" i="1"/>
  <c r="Q13" i="1"/>
  <c r="AL13" i="1"/>
  <c r="AH13" i="1"/>
  <c r="V13" i="1"/>
  <c r="J13" i="1"/>
  <c r="AG14" i="1"/>
  <c r="U14" i="1"/>
  <c r="I14" i="1"/>
  <c r="AG13" i="1"/>
  <c r="U13" i="1"/>
  <c r="I13" i="1"/>
  <c r="AF14" i="1"/>
  <c r="T14" i="1"/>
  <c r="H14" i="1"/>
  <c r="AF13" i="1"/>
  <c r="T13" i="1"/>
  <c r="AE14" i="1"/>
  <c r="S14" i="1"/>
  <c r="G14" i="1"/>
  <c r="AD14" i="1"/>
  <c r="R14" i="1"/>
  <c r="F14" i="1"/>
  <c r="T21" i="1"/>
  <c r="T23" i="1" s="1"/>
  <c r="Q21" i="1"/>
  <c r="Q23" i="1" s="1"/>
  <c r="J21" i="1"/>
  <c r="J23" i="1" s="1"/>
  <c r="AG21" i="1"/>
  <c r="AG23" i="1" s="1"/>
  <c r="AG8" i="1"/>
  <c r="AF21" i="1"/>
  <c r="AF23" i="1" s="1"/>
  <c r="AF8" i="1"/>
  <c r="AE21" i="1"/>
  <c r="AE23" i="1" s="1"/>
  <c r="AE8" i="1"/>
  <c r="AD8" i="1"/>
  <c r="AC8" i="1"/>
  <c r="AB34" i="1"/>
  <c r="AB21" i="1"/>
  <c r="AB23" i="1" s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E8" i="6" l="1"/>
  <c r="F8" i="6"/>
  <c r="AJ8" i="6"/>
  <c r="AD8" i="6"/>
  <c r="AH8" i="6"/>
  <c r="C8" i="6"/>
  <c r="O8" i="6"/>
  <c r="V8" i="6"/>
  <c r="U8" i="6"/>
  <c r="M8" i="6"/>
  <c r="AI7" i="6"/>
  <c r="AI8" i="6" s="1"/>
  <c r="Q8" i="6"/>
  <c r="P8" i="6"/>
  <c r="B8" i="6"/>
  <c r="W8" i="6"/>
  <c r="Z8" i="6"/>
  <c r="AA8" i="6"/>
  <c r="AC8" i="6"/>
  <c r="AG8" i="6"/>
  <c r="S8" i="6"/>
  <c r="Y8" i="6"/>
  <c r="L8" i="6"/>
  <c r="D8" i="6"/>
  <c r="I8" i="6"/>
  <c r="E8" i="6"/>
  <c r="K8" i="6"/>
  <c r="AF8" i="6"/>
  <c r="T8" i="6"/>
  <c r="AB8" i="6"/>
  <c r="N8" i="6"/>
  <c r="X8" i="6"/>
  <c r="R8" i="6"/>
  <c r="G8" i="6"/>
  <c r="H8" i="6"/>
  <c r="J8" i="6"/>
  <c r="L7" i="13"/>
  <c r="L8" i="12"/>
  <c r="L7" i="11"/>
  <c r="L8" i="11"/>
  <c r="L7" i="10"/>
  <c r="L6" i="9"/>
  <c r="K6" i="8"/>
  <c r="L6" i="8" s="1"/>
  <c r="L8" i="13" l="1"/>
  <c r="L9" i="12"/>
  <c r="L9" i="11"/>
  <c r="L8" i="10"/>
  <c r="L7" i="9"/>
  <c r="K7" i="8"/>
  <c r="L7" i="8" s="1"/>
  <c r="L9" i="13" l="1"/>
  <c r="L10" i="12"/>
  <c r="L10" i="11"/>
  <c r="L9" i="10"/>
  <c r="L8" i="9"/>
  <c r="K8" i="8"/>
  <c r="L8" i="8" s="1"/>
  <c r="L10" i="13" l="1"/>
  <c r="L11" i="12"/>
  <c r="L11" i="11"/>
  <c r="L10" i="10"/>
  <c r="L9" i="9"/>
  <c r="K9" i="8"/>
  <c r="L9" i="8" s="1"/>
  <c r="L11" i="13" l="1"/>
  <c r="L12" i="12"/>
  <c r="L12" i="11"/>
  <c r="L11" i="10"/>
  <c r="L10" i="9"/>
  <c r="K10" i="8"/>
  <c r="L10" i="8" s="1"/>
  <c r="L12" i="13" l="1"/>
  <c r="L13" i="12"/>
  <c r="L13" i="11"/>
  <c r="L12" i="10"/>
  <c r="L11" i="9"/>
  <c r="K11" i="8"/>
  <c r="L11" i="8" s="1"/>
  <c r="L13" i="13" l="1"/>
  <c r="L14" i="12"/>
  <c r="L14" i="11"/>
  <c r="L13" i="10"/>
  <c r="L12" i="9"/>
  <c r="K12" i="8"/>
  <c r="L12" i="8" s="1"/>
  <c r="L14" i="13" l="1"/>
  <c r="L15" i="12"/>
  <c r="L15" i="11"/>
  <c r="L14" i="10"/>
  <c r="L13" i="9"/>
  <c r="K13" i="8"/>
  <c r="L13" i="8" s="1"/>
  <c r="L15" i="13" l="1"/>
  <c r="L16" i="12"/>
  <c r="L16" i="11"/>
  <c r="L15" i="10"/>
  <c r="L14" i="9"/>
  <c r="K14" i="8"/>
  <c r="L14" i="8" s="1"/>
  <c r="L16" i="13" l="1"/>
  <c r="L17" i="12"/>
  <c r="L17" i="11"/>
  <c r="L16" i="10"/>
  <c r="L15" i="9"/>
  <c r="K15" i="8"/>
  <c r="L15" i="8" s="1"/>
  <c r="L17" i="13" l="1"/>
  <c r="L18" i="12"/>
  <c r="L18" i="11"/>
  <c r="L17" i="10"/>
  <c r="L16" i="9"/>
  <c r="K16" i="8"/>
  <c r="L16" i="8" s="1"/>
  <c r="L18" i="13" l="1"/>
  <c r="L19" i="12"/>
  <c r="L19" i="11"/>
  <c r="L18" i="10"/>
  <c r="L17" i="9"/>
  <c r="K17" i="8"/>
  <c r="L17" i="8" s="1"/>
  <c r="L19" i="13" l="1"/>
  <c r="L20" i="12"/>
  <c r="L20" i="11"/>
  <c r="L19" i="10"/>
  <c r="L18" i="9"/>
  <c r="K18" i="8"/>
  <c r="L18" i="8" s="1"/>
  <c r="L20" i="13" l="1"/>
  <c r="L21" i="12"/>
  <c r="L21" i="11"/>
  <c r="L20" i="10"/>
  <c r="L19" i="9"/>
  <c r="K19" i="8"/>
  <c r="L19" i="8" s="1"/>
  <c r="L21" i="13" l="1"/>
  <c r="L22" i="12"/>
  <c r="L22" i="11"/>
  <c r="L21" i="10"/>
  <c r="L20" i="9"/>
  <c r="K20" i="8"/>
  <c r="L20" i="8" s="1"/>
  <c r="L22" i="13" l="1"/>
  <c r="L23" i="12"/>
  <c r="L23" i="11"/>
  <c r="L22" i="10"/>
  <c r="L21" i="9"/>
  <c r="K21" i="8"/>
  <c r="L21" i="8" s="1"/>
  <c r="L23" i="13" l="1"/>
  <c r="L24" i="12"/>
  <c r="L24" i="11"/>
  <c r="L23" i="10"/>
  <c r="L22" i="9"/>
  <c r="K22" i="8"/>
  <c r="L22" i="8" s="1"/>
  <c r="L24" i="13" l="1"/>
  <c r="L25" i="12"/>
  <c r="L25" i="11"/>
  <c r="L24" i="10"/>
  <c r="L23" i="9"/>
  <c r="K23" i="8"/>
  <c r="L23" i="8" s="1"/>
  <c r="L25" i="13" l="1"/>
  <c r="L26" i="12"/>
  <c r="L26" i="11"/>
  <c r="L25" i="10"/>
  <c r="L24" i="9"/>
  <c r="K24" i="8"/>
  <c r="L24" i="8" s="1"/>
  <c r="L26" i="13" l="1"/>
  <c r="L27" i="12"/>
  <c r="L27" i="11"/>
  <c r="L26" i="10"/>
  <c r="L25" i="9"/>
  <c r="K25" i="8"/>
  <c r="L25" i="8" s="1"/>
  <c r="L27" i="13" l="1"/>
  <c r="L28" i="12"/>
  <c r="L28" i="11"/>
  <c r="L27" i="10"/>
  <c r="L26" i="9"/>
  <c r="K26" i="8"/>
  <c r="L26" i="8" s="1"/>
  <c r="L28" i="13" l="1"/>
  <c r="L29" i="12"/>
  <c r="L29" i="11"/>
  <c r="L28" i="10"/>
  <c r="L27" i="9"/>
  <c r="K27" i="8"/>
  <c r="L27" i="8" s="1"/>
  <c r="L29" i="13" l="1"/>
  <c r="L30" i="12"/>
  <c r="L30" i="11"/>
  <c r="L29" i="10"/>
  <c r="L28" i="9"/>
  <c r="K28" i="8"/>
  <c r="L28" i="8" s="1"/>
  <c r="L30" i="13" l="1"/>
  <c r="L31" i="12"/>
  <c r="L31" i="11"/>
  <c r="L30" i="10"/>
  <c r="L29" i="9"/>
  <c r="K29" i="8"/>
  <c r="L29" i="8" s="1"/>
  <c r="L31" i="13" l="1"/>
  <c r="L32" i="12"/>
  <c r="L32" i="11"/>
  <c r="L31" i="10"/>
  <c r="L30" i="9"/>
  <c r="K30" i="8"/>
  <c r="L30" i="8" s="1"/>
  <c r="L32" i="13" l="1"/>
  <c r="L33" i="12"/>
  <c r="L33" i="11"/>
  <c r="L32" i="10"/>
  <c r="L31" i="9"/>
  <c r="K31" i="8"/>
  <c r="L31" i="8" s="1"/>
  <c r="L33" i="13" l="1"/>
  <c r="L34" i="12"/>
  <c r="L34" i="11"/>
  <c r="L33" i="10"/>
  <c r="L32" i="9"/>
  <c r="K32" i="8"/>
  <c r="L32" i="8" s="1"/>
  <c r="L34" i="13" l="1"/>
  <c r="L35" i="12"/>
  <c r="L35" i="11"/>
  <c r="L34" i="10"/>
  <c r="L33" i="9"/>
  <c r="K33" i="8"/>
  <c r="L33" i="8" s="1"/>
  <c r="L35" i="13" l="1"/>
  <c r="L36" i="12"/>
  <c r="L36" i="11"/>
  <c r="L35" i="10"/>
  <c r="L34" i="9"/>
  <c r="K34" i="8"/>
  <c r="L34" i="8" s="1"/>
  <c r="L36" i="13" l="1"/>
  <c r="O37" i="12"/>
  <c r="L37" i="12"/>
  <c r="L37" i="11"/>
  <c r="L36" i="10"/>
  <c r="L35" i="9"/>
  <c r="K35" i="8"/>
  <c r="L35" i="8" s="1"/>
  <c r="L37" i="13" l="1"/>
  <c r="O37" i="13"/>
  <c r="AA37" i="12"/>
  <c r="Z37" i="12"/>
  <c r="O38" i="12"/>
  <c r="L38" i="12"/>
  <c r="L39" i="12" s="1"/>
  <c r="L41" i="12" s="1"/>
  <c r="O3" i="12"/>
  <c r="O5" i="12"/>
  <c r="O4" i="12"/>
  <c r="S4" i="12"/>
  <c r="O6" i="12"/>
  <c r="O7" i="12"/>
  <c r="O8" i="12"/>
  <c r="O9" i="12"/>
  <c r="O10" i="12"/>
  <c r="O11" i="12"/>
  <c r="O12" i="12"/>
  <c r="O13" i="12"/>
  <c r="O14" i="12"/>
  <c r="O15" i="12"/>
  <c r="O16" i="12"/>
  <c r="O17" i="12"/>
  <c r="O18" i="12"/>
  <c r="O19" i="12"/>
  <c r="O20" i="12"/>
  <c r="O21" i="12"/>
  <c r="O22" i="12"/>
  <c r="O23" i="12"/>
  <c r="O24" i="12"/>
  <c r="O25" i="12"/>
  <c r="O26" i="12"/>
  <c r="O27" i="12"/>
  <c r="O28" i="12"/>
  <c r="O29" i="12"/>
  <c r="O30" i="12"/>
  <c r="O31" i="12"/>
  <c r="O32" i="12"/>
  <c r="O33" i="12"/>
  <c r="O34" i="12"/>
  <c r="O35" i="12"/>
  <c r="O36" i="12"/>
  <c r="O38" i="11"/>
  <c r="S4" i="11"/>
  <c r="O3" i="11"/>
  <c r="L38" i="11"/>
  <c r="L39" i="11" s="1"/>
  <c r="L41" i="11" s="1"/>
  <c r="O4" i="11"/>
  <c r="P4" i="11" s="1"/>
  <c r="O6" i="11"/>
  <c r="O5" i="11"/>
  <c r="P5" i="11" s="1"/>
  <c r="O7" i="11"/>
  <c r="P7" i="11" s="1"/>
  <c r="O8" i="11"/>
  <c r="P8" i="11" s="1"/>
  <c r="O9" i="11"/>
  <c r="P9" i="11" s="1"/>
  <c r="O10" i="11"/>
  <c r="P10" i="11" s="1"/>
  <c r="O11" i="11"/>
  <c r="O12" i="11"/>
  <c r="O13" i="11"/>
  <c r="O14" i="11"/>
  <c r="O15" i="11"/>
  <c r="O16" i="11"/>
  <c r="P16" i="11" s="1"/>
  <c r="O17" i="11"/>
  <c r="P17" i="11" s="1"/>
  <c r="O18" i="11"/>
  <c r="P18" i="11" s="1"/>
  <c r="O19" i="11"/>
  <c r="P19" i="11" s="1"/>
  <c r="O20" i="11"/>
  <c r="P20" i="11" s="1"/>
  <c r="O21" i="11"/>
  <c r="P21" i="11" s="1"/>
  <c r="O22" i="11"/>
  <c r="P22" i="11" s="1"/>
  <c r="O23" i="11"/>
  <c r="O24" i="11"/>
  <c r="O25" i="11"/>
  <c r="P25" i="11" s="1"/>
  <c r="O26" i="11"/>
  <c r="O27" i="11"/>
  <c r="P27" i="11" s="1"/>
  <c r="O28" i="11"/>
  <c r="P28" i="11" s="1"/>
  <c r="O29" i="11"/>
  <c r="P29" i="11" s="1"/>
  <c r="O30" i="11"/>
  <c r="P30" i="11" s="1"/>
  <c r="O31" i="11"/>
  <c r="P31" i="11" s="1"/>
  <c r="O32" i="11"/>
  <c r="P32" i="11" s="1"/>
  <c r="O33" i="11"/>
  <c r="P33" i="11" s="1"/>
  <c r="O34" i="11"/>
  <c r="P34" i="11" s="1"/>
  <c r="O35" i="11"/>
  <c r="O36" i="11"/>
  <c r="O37" i="11"/>
  <c r="P37" i="11" s="1"/>
  <c r="L37" i="10"/>
  <c r="O37" i="10"/>
  <c r="L36" i="9"/>
  <c r="K36" i="8"/>
  <c r="L36" i="8" s="1"/>
  <c r="Z37" i="13" l="1"/>
  <c r="AA37" i="13"/>
  <c r="O3" i="13"/>
  <c r="S4" i="13"/>
  <c r="O38" i="13"/>
  <c r="L38" i="13"/>
  <c r="L39" i="13" s="1"/>
  <c r="L41" i="13" s="1"/>
  <c r="O5" i="13"/>
  <c r="O4" i="13"/>
  <c r="O6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Z12" i="12"/>
  <c r="P12" i="12"/>
  <c r="AA12" i="12"/>
  <c r="P35" i="12"/>
  <c r="Z35" i="12"/>
  <c r="AA35" i="12"/>
  <c r="P23" i="12"/>
  <c r="Z23" i="12"/>
  <c r="AA23" i="12"/>
  <c r="P11" i="12"/>
  <c r="Z11" i="12"/>
  <c r="AA11" i="12"/>
  <c r="AA38" i="12"/>
  <c r="Z38" i="12"/>
  <c r="P38" i="12"/>
  <c r="P7" i="12"/>
  <c r="Z7" i="12"/>
  <c r="AA7" i="12"/>
  <c r="AA30" i="12"/>
  <c r="Z30" i="12"/>
  <c r="P30" i="12"/>
  <c r="Z29" i="12"/>
  <c r="AA29" i="12"/>
  <c r="P29" i="12"/>
  <c r="Z4" i="12"/>
  <c r="P4" i="12"/>
  <c r="AA4" i="12"/>
  <c r="P27" i="12"/>
  <c r="AA27" i="12"/>
  <c r="Z27" i="12"/>
  <c r="P15" i="12"/>
  <c r="Z15" i="12"/>
  <c r="AA15" i="12"/>
  <c r="AA26" i="12"/>
  <c r="P26" i="12"/>
  <c r="Z26" i="12"/>
  <c r="Z25" i="12"/>
  <c r="P25" i="12"/>
  <c r="AA25" i="12"/>
  <c r="Z36" i="12"/>
  <c r="P36" i="12"/>
  <c r="AA36" i="12"/>
  <c r="AA10" i="12"/>
  <c r="P10" i="12"/>
  <c r="Z10" i="12"/>
  <c r="P19" i="12"/>
  <c r="Z19" i="12"/>
  <c r="AA19" i="12"/>
  <c r="AA18" i="12"/>
  <c r="Z18" i="12"/>
  <c r="P18" i="12"/>
  <c r="AA17" i="12"/>
  <c r="P17" i="12"/>
  <c r="Z17" i="12"/>
  <c r="Z16" i="12"/>
  <c r="P16" i="12"/>
  <c r="AA16" i="12"/>
  <c r="P5" i="12"/>
  <c r="AA5" i="12"/>
  <c r="Z5" i="12"/>
  <c r="P14" i="12"/>
  <c r="AA14" i="12"/>
  <c r="Z14" i="12"/>
  <c r="Z13" i="12"/>
  <c r="P13" i="12"/>
  <c r="AA13" i="12"/>
  <c r="Z24" i="12"/>
  <c r="P24" i="12"/>
  <c r="AA24" i="12"/>
  <c r="P21" i="12"/>
  <c r="Z21" i="12"/>
  <c r="AA21" i="12"/>
  <c r="P31" i="12"/>
  <c r="Z31" i="12"/>
  <c r="AA31" i="12"/>
  <c r="AA6" i="12"/>
  <c r="Z6" i="12"/>
  <c r="P6" i="12"/>
  <c r="Z28" i="12"/>
  <c r="P28" i="12"/>
  <c r="AA28" i="12"/>
  <c r="Z3" i="12"/>
  <c r="AA3" i="12"/>
  <c r="L43" i="12"/>
  <c r="AA34" i="12"/>
  <c r="Z34" i="12"/>
  <c r="P34" i="12"/>
  <c r="P22" i="12"/>
  <c r="AA22" i="12"/>
  <c r="Z22" i="12"/>
  <c r="AA33" i="12"/>
  <c r="P33" i="12"/>
  <c r="Z33" i="12"/>
  <c r="Z9" i="12"/>
  <c r="P9" i="12"/>
  <c r="AA9" i="12"/>
  <c r="Z32" i="12"/>
  <c r="P32" i="12"/>
  <c r="AA32" i="12"/>
  <c r="Z20" i="12"/>
  <c r="P20" i="12"/>
  <c r="AA20" i="12"/>
  <c r="Z8" i="12"/>
  <c r="P8" i="12"/>
  <c r="AA8" i="12"/>
  <c r="P37" i="12"/>
  <c r="P13" i="11"/>
  <c r="P15" i="11"/>
  <c r="P26" i="11"/>
  <c r="P14" i="11"/>
  <c r="P36" i="11"/>
  <c r="P24" i="11"/>
  <c r="P12" i="11"/>
  <c r="P38" i="11"/>
  <c r="P6" i="11"/>
  <c r="P35" i="11"/>
  <c r="P23" i="11"/>
  <c r="P11" i="11"/>
  <c r="L43" i="11"/>
  <c r="O3" i="10"/>
  <c r="O38" i="10"/>
  <c r="P38" i="10" s="1"/>
  <c r="S4" i="10"/>
  <c r="L38" i="10"/>
  <c r="L39" i="10" s="1"/>
  <c r="L41" i="10" s="1"/>
  <c r="O4" i="10"/>
  <c r="O5" i="10"/>
  <c r="O6" i="10"/>
  <c r="O7" i="10"/>
  <c r="P7" i="10" s="1"/>
  <c r="O8" i="10"/>
  <c r="P8" i="10" s="1"/>
  <c r="O9" i="10"/>
  <c r="P9" i="10" s="1"/>
  <c r="O10" i="10"/>
  <c r="O11" i="10"/>
  <c r="O12" i="10"/>
  <c r="O13" i="10"/>
  <c r="P13" i="10" s="1"/>
  <c r="O14" i="10"/>
  <c r="O15" i="10"/>
  <c r="P15" i="10" s="1"/>
  <c r="O16" i="10"/>
  <c r="O17" i="10"/>
  <c r="O18" i="10"/>
  <c r="P18" i="10" s="1"/>
  <c r="O19" i="10"/>
  <c r="P19" i="10" s="1"/>
  <c r="O20" i="10"/>
  <c r="P20" i="10" s="1"/>
  <c r="O21" i="10"/>
  <c r="P21" i="10" s="1"/>
  <c r="O22" i="10"/>
  <c r="O23" i="10"/>
  <c r="P23" i="10" s="1"/>
  <c r="O24" i="10"/>
  <c r="O25" i="10"/>
  <c r="P25" i="10" s="1"/>
  <c r="O26" i="10"/>
  <c r="O27" i="10"/>
  <c r="P27" i="10" s="1"/>
  <c r="O28" i="10"/>
  <c r="O29" i="10"/>
  <c r="O30" i="10"/>
  <c r="P30" i="10" s="1"/>
  <c r="O31" i="10"/>
  <c r="P31" i="10" s="1"/>
  <c r="O32" i="10"/>
  <c r="P32" i="10" s="1"/>
  <c r="O33" i="10"/>
  <c r="P33" i="10" s="1"/>
  <c r="O34" i="10"/>
  <c r="O35" i="10"/>
  <c r="P35" i="10" s="1"/>
  <c r="O36" i="10"/>
  <c r="L37" i="9"/>
  <c r="O37" i="9"/>
  <c r="K37" i="8"/>
  <c r="L37" i="8" s="1"/>
  <c r="AA7" i="13" l="1"/>
  <c r="Z7" i="13"/>
  <c r="P7" i="13"/>
  <c r="Z38" i="13"/>
  <c r="P38" i="13"/>
  <c r="AA38" i="13"/>
  <c r="L43" i="13"/>
  <c r="P35" i="13"/>
  <c r="AA35" i="13"/>
  <c r="Z35" i="13"/>
  <c r="AA23" i="13"/>
  <c r="Z23" i="13"/>
  <c r="P23" i="13"/>
  <c r="AA11" i="13"/>
  <c r="Z11" i="13"/>
  <c r="P11" i="13"/>
  <c r="Z3" i="13"/>
  <c r="AA3" i="13"/>
  <c r="AA19" i="13"/>
  <c r="P19" i="13"/>
  <c r="Z19" i="13"/>
  <c r="Z30" i="13"/>
  <c r="P30" i="13"/>
  <c r="AA30" i="13"/>
  <c r="Z4" i="13"/>
  <c r="P4" i="13"/>
  <c r="AA4" i="13"/>
  <c r="P28" i="13"/>
  <c r="Z28" i="13"/>
  <c r="AA28" i="13"/>
  <c r="P27" i="13"/>
  <c r="AA27" i="13"/>
  <c r="Z27" i="13"/>
  <c r="Z14" i="13"/>
  <c r="P14" i="13"/>
  <c r="AA14" i="13"/>
  <c r="Z25" i="13"/>
  <c r="P25" i="13"/>
  <c r="AA25" i="13"/>
  <c r="P12" i="13"/>
  <c r="Z12" i="13"/>
  <c r="AA12" i="13"/>
  <c r="Z34" i="13"/>
  <c r="P34" i="13"/>
  <c r="AA34" i="13"/>
  <c r="P22" i="13"/>
  <c r="Z22" i="13"/>
  <c r="AA22" i="13"/>
  <c r="AA10" i="13"/>
  <c r="Z10" i="13"/>
  <c r="P10" i="13"/>
  <c r="P31" i="13"/>
  <c r="AA31" i="13"/>
  <c r="Z31" i="13"/>
  <c r="Z6" i="13"/>
  <c r="P6" i="13"/>
  <c r="AA6" i="13"/>
  <c r="Z29" i="13"/>
  <c r="P29" i="13"/>
  <c r="AA29" i="13"/>
  <c r="Z5" i="13"/>
  <c r="P5" i="13"/>
  <c r="AA5" i="13"/>
  <c r="Z26" i="13"/>
  <c r="P26" i="13"/>
  <c r="AA26" i="13"/>
  <c r="Z13" i="13"/>
  <c r="P13" i="13"/>
  <c r="AA13" i="13"/>
  <c r="P36" i="13"/>
  <c r="Z36" i="13"/>
  <c r="AA36" i="13"/>
  <c r="Z33" i="13"/>
  <c r="P33" i="13"/>
  <c r="AA33" i="13"/>
  <c r="Z21" i="13"/>
  <c r="P21" i="13"/>
  <c r="AA21" i="13"/>
  <c r="Z9" i="13"/>
  <c r="P9" i="13"/>
  <c r="AA9" i="13"/>
  <c r="P37" i="13"/>
  <c r="Z18" i="13"/>
  <c r="P18" i="13"/>
  <c r="AA18" i="13"/>
  <c r="Z17" i="13"/>
  <c r="P17" i="13"/>
  <c r="AA17" i="13"/>
  <c r="P16" i="13"/>
  <c r="Z16" i="13"/>
  <c r="AA16" i="13"/>
  <c r="P15" i="13"/>
  <c r="AA15" i="13"/>
  <c r="Z15" i="13"/>
  <c r="P24" i="13"/>
  <c r="AA24" i="13"/>
  <c r="Z24" i="13"/>
  <c r="P32" i="13"/>
  <c r="Z32" i="13"/>
  <c r="AA32" i="13"/>
  <c r="P20" i="13"/>
  <c r="AA20" i="13"/>
  <c r="Z20" i="13"/>
  <c r="P8" i="13"/>
  <c r="AA8" i="13"/>
  <c r="Z8" i="13"/>
  <c r="L46" i="12"/>
  <c r="L44" i="12"/>
  <c r="P39" i="12"/>
  <c r="P41" i="12" s="1"/>
  <c r="P39" i="11"/>
  <c r="P41" i="11" s="1"/>
  <c r="L44" i="11"/>
  <c r="L46" i="11"/>
  <c r="P28" i="10"/>
  <c r="P16" i="10"/>
  <c r="P4" i="10"/>
  <c r="P11" i="10"/>
  <c r="P26" i="10"/>
  <c r="P14" i="10"/>
  <c r="P29" i="10"/>
  <c r="P17" i="10"/>
  <c r="P5" i="10"/>
  <c r="P36" i="10"/>
  <c r="P24" i="10"/>
  <c r="P12" i="10"/>
  <c r="P6" i="10"/>
  <c r="L43" i="10"/>
  <c r="P34" i="10"/>
  <c r="P22" i="10"/>
  <c r="P10" i="10"/>
  <c r="P37" i="10"/>
  <c r="O3" i="9"/>
  <c r="L38" i="9"/>
  <c r="L39" i="9" s="1"/>
  <c r="L41" i="9" s="1"/>
  <c r="O38" i="9"/>
  <c r="P38" i="9" s="1"/>
  <c r="O4" i="9"/>
  <c r="O5" i="9"/>
  <c r="O6" i="9"/>
  <c r="P6" i="9" s="1"/>
  <c r="O7" i="9"/>
  <c r="P7" i="9" s="1"/>
  <c r="O8" i="9"/>
  <c r="O9" i="9"/>
  <c r="O10" i="9"/>
  <c r="P10" i="9" s="1"/>
  <c r="O11" i="9"/>
  <c r="P11" i="9" s="1"/>
  <c r="O12" i="9"/>
  <c r="O13" i="9"/>
  <c r="O14" i="9"/>
  <c r="O15" i="9"/>
  <c r="O16" i="9"/>
  <c r="O17" i="9"/>
  <c r="O18" i="9"/>
  <c r="P18" i="9" s="1"/>
  <c r="O19" i="9"/>
  <c r="P19" i="9" s="1"/>
  <c r="O20" i="9"/>
  <c r="P20" i="9" s="1"/>
  <c r="O21" i="9"/>
  <c r="P21" i="9" s="1"/>
  <c r="O22" i="9"/>
  <c r="P22" i="9" s="1"/>
  <c r="O23" i="9"/>
  <c r="P23" i="9" s="1"/>
  <c r="O24" i="9"/>
  <c r="O25" i="9"/>
  <c r="O26" i="9"/>
  <c r="O27" i="9"/>
  <c r="P27" i="9" s="1"/>
  <c r="O28" i="9"/>
  <c r="O29" i="9"/>
  <c r="O30" i="9"/>
  <c r="P30" i="9" s="1"/>
  <c r="O31" i="9"/>
  <c r="P31" i="9" s="1"/>
  <c r="O32" i="9"/>
  <c r="P32" i="9" s="1"/>
  <c r="O33" i="9"/>
  <c r="P33" i="9" s="1"/>
  <c r="O34" i="9"/>
  <c r="P34" i="9" s="1"/>
  <c r="O35" i="9"/>
  <c r="P35" i="9" s="1"/>
  <c r="O36" i="9"/>
  <c r="K38" i="8"/>
  <c r="L46" i="13" l="1"/>
  <c r="L44" i="13"/>
  <c r="P39" i="13"/>
  <c r="P41" i="13" s="1"/>
  <c r="P39" i="10"/>
  <c r="P41" i="10" s="1"/>
  <c r="L46" i="10"/>
  <c r="L44" i="10"/>
  <c r="P26" i="9"/>
  <c r="P14" i="9"/>
  <c r="P15" i="9"/>
  <c r="P28" i="9"/>
  <c r="P16" i="9"/>
  <c r="P4" i="9"/>
  <c r="P9" i="9"/>
  <c r="P29" i="9"/>
  <c r="P17" i="9"/>
  <c r="P5" i="9"/>
  <c r="P25" i="9"/>
  <c r="P13" i="9"/>
  <c r="P8" i="9"/>
  <c r="L43" i="9"/>
  <c r="L46" i="9" s="1"/>
  <c r="P36" i="9"/>
  <c r="P24" i="9"/>
  <c r="P12" i="9"/>
  <c r="P37" i="9"/>
  <c r="L38" i="8"/>
  <c r="L39" i="8" s="1"/>
  <c r="L41" i="8" s="1"/>
  <c r="O3" i="8"/>
  <c r="O38" i="8"/>
  <c r="O4" i="8"/>
  <c r="O5" i="8"/>
  <c r="O6" i="8"/>
  <c r="P6" i="8" s="1"/>
  <c r="O7" i="8"/>
  <c r="O8" i="8"/>
  <c r="O9" i="8"/>
  <c r="O10" i="8"/>
  <c r="O11" i="8"/>
  <c r="O12" i="8"/>
  <c r="P12" i="8" s="1"/>
  <c r="O13" i="8"/>
  <c r="P13" i="8" s="1"/>
  <c r="O14" i="8"/>
  <c r="P14" i="8" s="1"/>
  <c r="O15" i="8"/>
  <c r="P15" i="8" s="1"/>
  <c r="O16" i="8"/>
  <c r="O17" i="8"/>
  <c r="O18" i="8"/>
  <c r="O19" i="8"/>
  <c r="O20" i="8"/>
  <c r="P20" i="8" s="1"/>
  <c r="O21" i="8"/>
  <c r="P21" i="8" s="1"/>
  <c r="O22" i="8"/>
  <c r="O23" i="8"/>
  <c r="P23" i="8" s="1"/>
  <c r="O24" i="8"/>
  <c r="O25" i="8"/>
  <c r="O26" i="8"/>
  <c r="O27" i="8"/>
  <c r="O28" i="8"/>
  <c r="P28" i="8" s="1"/>
  <c r="O29" i="8"/>
  <c r="P29" i="8" s="1"/>
  <c r="O30" i="8"/>
  <c r="P30" i="8" s="1"/>
  <c r="O31" i="8"/>
  <c r="P31" i="8" s="1"/>
  <c r="O32" i="8"/>
  <c r="O33" i="8"/>
  <c r="O34" i="8"/>
  <c r="O35" i="8"/>
  <c r="O36" i="8"/>
  <c r="P36" i="8" s="1"/>
  <c r="O37" i="8"/>
  <c r="P37" i="8" s="1"/>
  <c r="L44" i="9" l="1"/>
  <c r="P39" i="9"/>
  <c r="P41" i="9" s="1"/>
  <c r="P33" i="8"/>
  <c r="P25" i="8"/>
  <c r="P9" i="8"/>
  <c r="L43" i="8"/>
  <c r="P17" i="8"/>
  <c r="P22" i="8"/>
  <c r="P5" i="8"/>
  <c r="P7" i="8"/>
  <c r="P34" i="8"/>
  <c r="P26" i="8"/>
  <c r="P18" i="8"/>
  <c r="P10" i="8"/>
  <c r="P32" i="8"/>
  <c r="P24" i="8"/>
  <c r="P16" i="8"/>
  <c r="P8" i="8"/>
  <c r="P4" i="8"/>
  <c r="P35" i="8"/>
  <c r="P27" i="8"/>
  <c r="P19" i="8"/>
  <c r="P11" i="8"/>
  <c r="P38" i="8"/>
  <c r="L46" i="8" l="1"/>
  <c r="L44" i="8"/>
  <c r="P39" i="8"/>
  <c r="P41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Filipe Vilela Lopes</author>
  </authors>
  <commentList>
    <comment ref="B8" authorId="0" shapeId="0" xr:uid="{FB064939-2956-409C-AF49-C2F168C0AF1D}">
      <text>
        <r>
          <rPr>
            <b/>
            <sz val="9"/>
            <color indexed="81"/>
            <rFont val="Segoe UI"/>
            <family val="2"/>
          </rPr>
          <t>Analisar exclusão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Filipe Vilela Lopes</author>
  </authors>
  <commentList>
    <comment ref="B8" authorId="0" shapeId="0" xr:uid="{988012CB-A1E0-4DFD-939A-0C48266F521E}">
      <text>
        <r>
          <rPr>
            <sz val="9"/>
            <color indexed="81"/>
            <rFont val="Segoe UI"/>
            <family val="2"/>
          </rPr>
          <t>Pesos para ponderação:
1,00 para a classificação “ótima”; 
0,75 para “boa”; 
0,50 para “regular”; 
0,25 para “ruim” e 
0,00 para “péssima”</t>
        </r>
      </text>
    </comment>
    <comment ref="B10" authorId="0" shapeId="0" xr:uid="{B0E99E73-DAEA-43C4-83A3-6698809F12C2}">
      <text>
        <r>
          <rPr>
            <b/>
            <sz val="9"/>
            <color indexed="81"/>
            <rFont val="Segoe UI"/>
            <family val="2"/>
          </rPr>
          <t>Analisar exclusão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Filipe Vilela Lopes</author>
  </authors>
  <commentList>
    <comment ref="B10" authorId="0" shapeId="0" xr:uid="{EEDFF391-F819-48DB-9AC9-36D0E8AAD8BD}">
      <text>
        <r>
          <rPr>
            <b/>
            <sz val="9"/>
            <color indexed="81"/>
            <rFont val="Segoe UI"/>
            <family val="2"/>
          </rPr>
          <t>Analisar exclusão</t>
        </r>
      </text>
    </comment>
  </commentList>
</comments>
</file>

<file path=xl/sharedStrings.xml><?xml version="1.0" encoding="utf-8"?>
<sst xmlns="http://schemas.openxmlformats.org/spreadsheetml/2006/main" count="957" uniqueCount="173">
  <si>
    <t>Domínios e seus respectivos indicadores</t>
  </si>
  <si>
    <t>Caminhabilidade</t>
  </si>
  <si>
    <t>Domicílios com calçada na rua de acesso</t>
  </si>
  <si>
    <t>Calçadas com rampa para cadeirantes</t>
  </si>
  <si>
    <t>Travessia sinalizada para pedestres</t>
  </si>
  <si>
    <t>Qualidade da calçada</t>
  </si>
  <si>
    <t>Ciclabilidade</t>
  </si>
  <si>
    <t>Presença de ciclofaixas ou ciclovias nas proximidades</t>
  </si>
  <si>
    <t>Uso da bicicleta como principal meio de transporte para deslocamento ao trabalho </t>
  </si>
  <si>
    <t>Transporte público</t>
  </si>
  <si>
    <t>Proximidade Territorial</t>
  </si>
  <si>
    <t>Walk Score</t>
  </si>
  <si>
    <t>Aspectos ambientais</t>
  </si>
  <si>
    <t>Emissões do deslocamento/hab relativas às viagens por trabalho ou estudo</t>
  </si>
  <si>
    <t>Ruas arborizadas nas proximidades</t>
  </si>
  <si>
    <t>RA I</t>
  </si>
  <si>
    <t>Plano Piloto</t>
  </si>
  <si>
    <t>Gama</t>
  </si>
  <si>
    <t>Taguatinga</t>
  </si>
  <si>
    <t xml:space="preserve">Brazlândia </t>
  </si>
  <si>
    <t>Sobradinho</t>
  </si>
  <si>
    <t>Planaltina</t>
  </si>
  <si>
    <t>Paranoá</t>
  </si>
  <si>
    <t>Nucleo Bandeirante</t>
  </si>
  <si>
    <t>Ceilândia</t>
  </si>
  <si>
    <t>Guará</t>
  </si>
  <si>
    <t>Cruzeiro</t>
  </si>
  <si>
    <t>Samambaia</t>
  </si>
  <si>
    <t>Santa Maria</t>
  </si>
  <si>
    <t>São Sebastião</t>
  </si>
  <si>
    <t>Recanto das Emas</t>
  </si>
  <si>
    <t>Lago Sul</t>
  </si>
  <si>
    <t>Riacho Fundo</t>
  </si>
  <si>
    <t>Lago Norte</t>
  </si>
  <si>
    <t>Candangolândia</t>
  </si>
  <si>
    <t>Águas Claras</t>
  </si>
  <si>
    <t>Riacho Fundo II</t>
  </si>
  <si>
    <t>Sudoeste - Octogonal</t>
  </si>
  <si>
    <t>Varjão</t>
  </si>
  <si>
    <t>Parkway</t>
  </si>
  <si>
    <t>SCIA - Estrutural</t>
  </si>
  <si>
    <t>Sobradinho II</t>
  </si>
  <si>
    <t>Jardim Botânico</t>
  </si>
  <si>
    <t>Itapoã</t>
  </si>
  <si>
    <t>Vicente Pires</t>
  </si>
  <si>
    <t>Fercal</t>
  </si>
  <si>
    <t>Arniqueira</t>
  </si>
  <si>
    <t>Arapoanga</t>
  </si>
  <si>
    <t>Água Quente</t>
  </si>
  <si>
    <t>RA II</t>
  </si>
  <si>
    <t>RA III</t>
  </si>
  <si>
    <t>RA IV</t>
  </si>
  <si>
    <t>RA V</t>
  </si>
  <si>
    <t>RA VI</t>
  </si>
  <si>
    <t>RA VII</t>
  </si>
  <si>
    <t>RA VIII</t>
  </si>
  <si>
    <t>RA IX</t>
  </si>
  <si>
    <t>RA X</t>
  </si>
  <si>
    <t>RA XI</t>
  </si>
  <si>
    <t>RA XII</t>
  </si>
  <si>
    <t>RA XIV</t>
  </si>
  <si>
    <t>RA XV</t>
  </si>
  <si>
    <t>RA XVI</t>
  </si>
  <si>
    <t>RA XVII</t>
  </si>
  <si>
    <t>RA XVIII</t>
  </si>
  <si>
    <t>RA XIX</t>
  </si>
  <si>
    <t>RA XX</t>
  </si>
  <si>
    <t>RA XXI</t>
  </si>
  <si>
    <t>RA XXII</t>
  </si>
  <si>
    <t>RA XXIII</t>
  </si>
  <si>
    <t>RA XXIV</t>
  </si>
  <si>
    <t>RA XXV</t>
  </si>
  <si>
    <t>RA XXVI</t>
  </si>
  <si>
    <t>RA XXVII</t>
  </si>
  <si>
    <t>RA XXVIII</t>
  </si>
  <si>
    <t>RA XXIX</t>
  </si>
  <si>
    <t>RA XXX</t>
  </si>
  <si>
    <t>RA XXXI</t>
  </si>
  <si>
    <t>RA XXXII</t>
  </si>
  <si>
    <t>RA XXXIII</t>
  </si>
  <si>
    <t>RA XXXIV</t>
  </si>
  <si>
    <t>RA XXXV</t>
  </si>
  <si>
    <t>Concentração de Vínculo Laboral na RA de residência
(Trabalho na mesma RA da residência)</t>
  </si>
  <si>
    <t>Taxa de atendimento em saúde na RA de residência
(Último atendimento em saúde na mesma RA da residência)</t>
  </si>
  <si>
    <t>Predominância de compra de alimentos na RA de residência
(Realiza as principais compras de alimentação na mesma RA da residência)</t>
  </si>
  <si>
    <t>Disponibilidade de parques ou praças nas cercanias do domicílio
(acesso a praças ou parques nas proximidades)</t>
  </si>
  <si>
    <t>Fig. 34</t>
  </si>
  <si>
    <t>SEMOB</t>
  </si>
  <si>
    <t>Tem Bici</t>
  </si>
  <si>
    <t>Fig. 25</t>
  </si>
  <si>
    <t>GeoPortal</t>
  </si>
  <si>
    <t>Walkscore</t>
  </si>
  <si>
    <t>Fig. 21</t>
  </si>
  <si>
    <t>Fig. 49</t>
  </si>
  <si>
    <t>Fig. 51</t>
  </si>
  <si>
    <t>Fig. 59</t>
  </si>
  <si>
    <t>SIA</t>
  </si>
  <si>
    <t>Fig. 29</t>
  </si>
  <si>
    <t>Área em km²</t>
  </si>
  <si>
    <t>Extensão da malha cicloviária (km) (OCULTAR)</t>
  </si>
  <si>
    <t>Extensão da malha cicloviária (densidade) (OCULTAR)</t>
  </si>
  <si>
    <t>Extensão da malha cicloviária (escala logarítmica)</t>
  </si>
  <si>
    <t>Extensão da malha cicloviária (Dx / Dmáx)</t>
  </si>
  <si>
    <t>Uso de transporte público (ônibus + metrô) como principal meio de transporte para deslocamento ao trabalho</t>
  </si>
  <si>
    <t>Uso de transporte público (ônibus + escolar público + metrô) como principal meio de transporte para deslocamento à escola</t>
  </si>
  <si>
    <t>Pontos de aluguel de bicicleta compartilhada (Tem bici) quantidade de estações (OCULTAR)</t>
  </si>
  <si>
    <t>Uso do ônibus como principal meio de transporte para deslocamento ao trabalho (OCULTAR)</t>
  </si>
  <si>
    <t>População</t>
  </si>
  <si>
    <t>SEMOB (GeoServer)</t>
  </si>
  <si>
    <t>Quantidade de paradas de ônibus (OCULTAR)</t>
  </si>
  <si>
    <r>
      <t>Densidade de estações de metrô por km</t>
    </r>
    <r>
      <rPr>
        <vertAlign val="super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 xml:space="preserve"> (Dx / Dmáx)</t>
    </r>
  </si>
  <si>
    <r>
      <t>Densidade de estações de metrô por km</t>
    </r>
    <r>
      <rPr>
        <vertAlign val="super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 xml:space="preserve"> (escala logarítmica)</t>
    </r>
  </si>
  <si>
    <t>PDAD</t>
  </si>
  <si>
    <t>Pontos de aluguel de bicicleta compartilhada (Tem bici) (Dx / Dmáx)</t>
  </si>
  <si>
    <t>Pontos de aluguel de bicicleta compartilhada (Tem bici) (escala logarítmica)</t>
  </si>
  <si>
    <t>Emissões do deslocamento/hab relativas às viagens por trabalho ou estudo (OCULTAR)</t>
  </si>
  <si>
    <t>Densidade de pontos/paradas de ônibus por km2 (Dx / Dmáx)</t>
  </si>
  <si>
    <t>Densidade de pontos/paradas de ônibus por km2 (escala logarítmica)</t>
  </si>
  <si>
    <r>
      <t>Densidade de pontos/paradas de ônibus por km</t>
    </r>
    <r>
      <rPr>
        <vertAlign val="super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 xml:space="preserve"> (OCULTAR)</t>
    </r>
  </si>
  <si>
    <t xml:space="preserve">Explicação </t>
  </si>
  <si>
    <t>Extensão da malha cicloviária (densidade km/km²)</t>
  </si>
  <si>
    <t>Relação entre a extensão da malha cicloviária (km) e a área total de cada RA (km²) - resultados parametrizados com uma normalização dos dados baseada na densidade de infraestrutura, corrigido por uma função logarítmica.</t>
  </si>
  <si>
    <t>Fonte</t>
  </si>
  <si>
    <t>Uso do metrô como principal meio de transporte para deslocamento ao trabalho (OCULTAR)</t>
  </si>
  <si>
    <t>Uso do ônibus + transporte escolar público como principal meio de transporte para deslocamento à escola (OCULTAR)</t>
  </si>
  <si>
    <t>Uso do metrô como principal meio de transporte para deslocamento à escola (OCULTAR)</t>
  </si>
  <si>
    <t>Quantidade de estações de metrô (OCULTAR)</t>
  </si>
  <si>
    <r>
      <t>Densidade de estações de metrô por km</t>
    </r>
    <r>
      <rPr>
        <vertAlign val="super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 xml:space="preserve"> (OCULTAR)</t>
    </r>
  </si>
  <si>
    <t>SEMOB 
(GeoServer)</t>
  </si>
  <si>
    <t>IPE-DF 
(Avaliação de emissões de Gases de Efeito Estufa - Relatório 2)</t>
  </si>
  <si>
    <t>IPE-DF 
(Avaliação de emissões de Gases de Efeito Estufa - Relatório 2 - gráfico 5)</t>
  </si>
  <si>
    <t xml:space="preserve">Infraestrutura urbana no entorno dos domicílios: percentual de domicílios com presença de travessia sinalizada para pedestres (faixas, passarelas, passagens subterrâneas ou semáforos) nas proximidades. </t>
  </si>
  <si>
    <t>Infraestrutura urbana existente nas proximidades dos domicílios: ponderação para uma avaliação qualitativa das calçadas (adotou-se um critério de ponderação progressiva: atribuiu-se peso 1,00 para a classificação “ótima”; 0,75 para “boa”; 0,50 para “regular”; 0,25 para “ruim” e 0,00 para “péssima”). O valor final do indicador corresponde, portanto, à soma ponderada das frequências percentuais de cada categoria.</t>
  </si>
  <si>
    <t>Infraestrutura urbana no entorno dos domicílios: percentual de domicílios com presença de ciclofaixas ou ciclovias em suas adjacências.</t>
  </si>
  <si>
    <t>Percentual de domicílios cujos moradores utilizam predominantemente ônibus ou metrô no deslocamento para o trabalho.</t>
  </si>
  <si>
    <t>Percentual de domicílios cujos moradores utilizam predominantemente ônibus (regular ou escolar público) ou metrô no deslocamento para a escola.</t>
  </si>
  <si>
    <t>Percentual de domicílios cujos moradores trabalham na mesma Região Administrativa (RA) em que residem.</t>
  </si>
  <si>
    <t>Percentual de domicílios cujos moradores buscaram atendimento em saúde, na última ocorrência, na mesma Região Administrativa (RA) em que residem.</t>
  </si>
  <si>
    <t>Percentual de domicílios cujos moradores realizam a compra predominante de alimentos na mesma Região Administrativa (RA) em que residem.</t>
  </si>
  <si>
    <t>Levantamento de quantidade de estações em cada RA - resultados normalizados em uma escala de 0 a 1, com aplicação de função logarítmica e atribuição do valor 1 à Região Administrativa com o maior número de estações.</t>
  </si>
  <si>
    <t>Relação entre a quantidade de pontos/paradas de ônibus (unid) e a área total de cada RA (km²) - resultados normalizados em uma escala de 0 a 1, baseados na densidade de infraestrutura, com aplicação de função logarítmica e atribuição do valor 1 à Região Administrativa com o maior número de pontos/paradas por km².</t>
  </si>
  <si>
    <t>Relação entre a quantidade de estações de metrô (unid) e a área total de cada RA (km²) - resultados normalizados em uma escala de 0 a 1, baseados na densidade de infraestrutura, com aplicação de função logarítmica e atribuição do valor 1 à Região Administrativa com o maior número de pontos/paradas por km².</t>
  </si>
  <si>
    <t xml:space="preserve">Emissões do deslocamento/hab relativas às viagens por trabalho ou estudo - RA por habitante (kgCO2/hab-ano) -
resultados normalizados em uma escala de 0 a 1, com aplicação de função logarítmica e atribuição do valor 0 à Região Administrativa com a maior quantidade de emissões de deslocamento por habitante. </t>
  </si>
  <si>
    <t>Infraestrutura urbana no entorno dos domicílios: percentual de domicílios cuja rua de acesso principal é asfaltada.</t>
  </si>
  <si>
    <t>Infraestrutura urbana no entorno dos domicílios: percentual de domicílios com a acesso a praças ou parques nas proximidades.</t>
  </si>
  <si>
    <t>Infraestrutura urbana no entorno dos domicílios: percentual de domicílios com disponibilidade de rampas de acessibilidade para cadeirantes nas calçadas de acesso nas proximidades.</t>
  </si>
  <si>
    <t>Infraestrutura urbana no entorno dos domicílios: percentual de domicílios que dispõem de ruas arborizadas nas suas adjacências.</t>
  </si>
  <si>
    <t>PDAD-A 2024</t>
  </si>
  <si>
    <t>É um indicador internacional que mede o nível de caminhabilidade de um endereço — ou seja, o quanto é possível realizar atividades do dia a dia a pé, sem depender do carro. Ele avalia a proximidade de serviços, como restaurantes, mercados, farmácias, escolas, parques e centros comerciais, atribuindo uma pontuação que revela o grau de conveniência daquela localização.</t>
  </si>
  <si>
    <t>Transporte Público</t>
  </si>
  <si>
    <t>Aspectos Ambientais</t>
  </si>
  <si>
    <t>Especialista 1</t>
  </si>
  <si>
    <t>Especialista 2</t>
  </si>
  <si>
    <t>Especialista 3</t>
  </si>
  <si>
    <t>Especialista 4</t>
  </si>
  <si>
    <t>Especialista 5</t>
  </si>
  <si>
    <t>Média aritmética</t>
  </si>
  <si>
    <t>IMAP</t>
  </si>
  <si>
    <t>RA</t>
  </si>
  <si>
    <t>igualdade perfeita</t>
  </si>
  <si>
    <t>curva de lorenz</t>
  </si>
  <si>
    <t xml:space="preserve"> </t>
  </si>
  <si>
    <t>Índice de Gini</t>
  </si>
  <si>
    <t>Gini</t>
  </si>
  <si>
    <t>Cálculo das áreas</t>
  </si>
  <si>
    <t>A=</t>
  </si>
  <si>
    <t>X</t>
  </si>
  <si>
    <t>Igualdade</t>
  </si>
  <si>
    <t>Lorenz</t>
  </si>
  <si>
    <t>Área (diferença)</t>
  </si>
  <si>
    <t>Curva de Lorenz</t>
  </si>
  <si>
    <t>RA XIII</t>
  </si>
  <si>
    <t>Sol Nascente e Pôr do Sol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</si>
</sst>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000000"/>
  </numFmts>
  <fonts count="14" x14ac:knownFonts="1">
    <font>
      <sz val="11"/>
      <color theme="1"/>
      <name val="Aptos Narrow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8"/>
      <color theme="1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64">
    <xf numFmtId="0" fontId="0" fillId="0" borderId="0" xfId="0"/>
    <xf numFmtId="0" fontId="5" fillId="0" borderId="0" xfId="0" applyFont="1" applyAlignment="1">
      <alignment vertical="center"/>
    </xf>
    <xf numFmtId="0" fontId="0" fillId="0" borderId="1" xfId="0" applyBorder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Border="1"/>
    <xf numFmtId="0" fontId="0" fillId="0" borderId="6" xfId="0" applyBorder="1"/>
    <xf numFmtId="0" fontId="0" fillId="0" borderId="2" xfId="0" applyBorder="1"/>
    <xf numFmtId="0" fontId="0" fillId="2" borderId="4" xfId="0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 wrapText="1"/>
    </xf>
    <xf numFmtId="0" fontId="0" fillId="3" borderId="4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14" xfId="0" applyFont="1" applyBorder="1" applyAlignment="1">
      <alignment horizontal="justify" vertical="center"/>
    </xf>
    <xf numFmtId="0" fontId="2" fillId="0" borderId="14" xfId="0" applyFont="1" applyBorder="1" applyAlignment="1">
      <alignment horizontal="justify" vertical="center" wrapText="1"/>
    </xf>
    <xf numFmtId="0" fontId="4" fillId="0" borderId="15" xfId="0" applyFont="1" applyBorder="1" applyAlignment="1">
      <alignment horizontal="justify" vertical="center"/>
    </xf>
    <xf numFmtId="0" fontId="2" fillId="0" borderId="15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/>
    </xf>
    <xf numFmtId="0" fontId="2" fillId="0" borderId="1" xfId="0" applyFont="1" applyBorder="1" applyAlignment="1">
      <alignment horizontal="justify" vertical="center" wrapText="1"/>
    </xf>
    <xf numFmtId="0" fontId="2" fillId="0" borderId="16" xfId="0" applyFont="1" applyBorder="1" applyAlignment="1">
      <alignment horizontal="justify" vertical="center"/>
    </xf>
    <xf numFmtId="0" fontId="0" fillId="4" borderId="1" xfId="0" applyFill="1" applyBorder="1"/>
    <xf numFmtId="0" fontId="2" fillId="5" borderId="2" xfId="0" applyFont="1" applyFill="1" applyBorder="1" applyAlignment="1">
      <alignment horizontal="justify" vertical="center"/>
    </xf>
    <xf numFmtId="0" fontId="2" fillId="0" borderId="2" xfId="0" applyFont="1" applyBorder="1" applyAlignment="1">
      <alignment horizontal="justify" vertical="center"/>
    </xf>
    <xf numFmtId="0" fontId="2" fillId="0" borderId="19" xfId="0" applyFont="1" applyBorder="1" applyAlignment="1">
      <alignment horizontal="justify" vertical="center"/>
    </xf>
    <xf numFmtId="0" fontId="2" fillId="6" borderId="1" xfId="0" applyFont="1" applyFill="1" applyBorder="1" applyAlignment="1">
      <alignment horizontal="justify" vertical="center"/>
    </xf>
    <xf numFmtId="0" fontId="2" fillId="3" borderId="1" xfId="0" applyFont="1" applyFill="1" applyBorder="1" applyAlignment="1">
      <alignment horizontal="justify" vertical="center"/>
    </xf>
    <xf numFmtId="0" fontId="2" fillId="0" borderId="16" xfId="0" applyFont="1" applyBorder="1" applyAlignment="1">
      <alignment horizontal="justify" vertical="center" wrapText="1"/>
    </xf>
    <xf numFmtId="164" fontId="0" fillId="0" borderId="0" xfId="0" applyNumberFormat="1" applyAlignment="1">
      <alignment horizontal="center" vertical="center" wrapText="1"/>
    </xf>
    <xf numFmtId="0" fontId="2" fillId="7" borderId="1" xfId="0" applyFont="1" applyFill="1" applyBorder="1" applyAlignment="1">
      <alignment horizontal="justify" vertical="center"/>
    </xf>
    <xf numFmtId="0" fontId="1" fillId="2" borderId="18" xfId="0" applyFont="1" applyFill="1" applyBorder="1" applyAlignment="1">
      <alignment vertical="center" wrapText="1"/>
    </xf>
    <xf numFmtId="0" fontId="0" fillId="3" borderId="18" xfId="0" applyFill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0" fontId="2" fillId="0" borderId="3" xfId="0" applyFont="1" applyBorder="1" applyAlignment="1">
      <alignment horizontal="justify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0" fillId="0" borderId="1" xfId="1" applyNumberFormat="1" applyFont="1" applyBorder="1"/>
    <xf numFmtId="0" fontId="2" fillId="6" borderId="13" xfId="0" applyFont="1" applyFill="1" applyBorder="1" applyAlignment="1">
      <alignment horizontal="justify" vertical="center"/>
    </xf>
    <xf numFmtId="0" fontId="2" fillId="3" borderId="13" xfId="0" applyFont="1" applyFill="1" applyBorder="1" applyAlignment="1">
      <alignment horizontal="justify" vertical="center"/>
    </xf>
    <xf numFmtId="0" fontId="2" fillId="8" borderId="2" xfId="0" applyFont="1" applyFill="1" applyBorder="1" applyAlignment="1">
      <alignment horizontal="justify" vertical="center"/>
    </xf>
    <xf numFmtId="0" fontId="2" fillId="8" borderId="25" xfId="0" applyFont="1" applyFill="1" applyBorder="1" applyAlignment="1">
      <alignment horizontal="justify" vertical="center"/>
    </xf>
    <xf numFmtId="0" fontId="2" fillId="8" borderId="26" xfId="0" applyFont="1" applyFill="1" applyBorder="1" applyAlignment="1">
      <alignment horizontal="justify" vertical="center"/>
    </xf>
    <xf numFmtId="0" fontId="2" fillId="3" borderId="14" xfId="0" applyFont="1" applyFill="1" applyBorder="1" applyAlignment="1">
      <alignment horizontal="justify" vertical="center"/>
    </xf>
    <xf numFmtId="0" fontId="2" fillId="3" borderId="15" xfId="0" applyFont="1" applyFill="1" applyBorder="1" applyAlignment="1">
      <alignment horizontal="justify" vertical="center"/>
    </xf>
    <xf numFmtId="0" fontId="2" fillId="9" borderId="25" xfId="0" applyFont="1" applyFill="1" applyBorder="1" applyAlignment="1">
      <alignment horizontal="justify" vertical="center"/>
    </xf>
    <xf numFmtId="0" fontId="2" fillId="9" borderId="2" xfId="0" applyFont="1" applyFill="1" applyBorder="1" applyAlignment="1">
      <alignment horizontal="justify" vertical="center"/>
    </xf>
    <xf numFmtId="0" fontId="2" fillId="9" borderId="26" xfId="0" applyFont="1" applyFill="1" applyBorder="1" applyAlignment="1">
      <alignment horizontal="justify" vertical="center"/>
    </xf>
    <xf numFmtId="0" fontId="2" fillId="10" borderId="13" xfId="0" applyFont="1" applyFill="1" applyBorder="1" applyAlignment="1">
      <alignment horizontal="justify" vertical="center" wrapText="1"/>
    </xf>
    <xf numFmtId="0" fontId="2" fillId="10" borderId="14" xfId="0" applyFont="1" applyFill="1" applyBorder="1" applyAlignment="1">
      <alignment horizontal="justify" vertical="center" wrapText="1"/>
    </xf>
    <xf numFmtId="0" fontId="4" fillId="10" borderId="15" xfId="0" applyFont="1" applyFill="1" applyBorder="1" applyAlignment="1">
      <alignment horizontal="justify" vertical="center"/>
    </xf>
    <xf numFmtId="0" fontId="2" fillId="11" borderId="13" xfId="0" applyFont="1" applyFill="1" applyBorder="1" applyAlignment="1">
      <alignment horizontal="justify" vertical="center"/>
    </xf>
    <xf numFmtId="0" fontId="2" fillId="11" borderId="14" xfId="0" applyFont="1" applyFill="1" applyBorder="1" applyAlignment="1">
      <alignment horizontal="justify" vertical="center"/>
    </xf>
    <xf numFmtId="0" fontId="2" fillId="11" borderId="15" xfId="0" applyFont="1" applyFill="1" applyBorder="1" applyAlignment="1">
      <alignment horizontal="justify" vertical="center" wrapText="1"/>
    </xf>
    <xf numFmtId="0" fontId="1" fillId="0" borderId="24" xfId="0" applyFont="1" applyBorder="1" applyAlignment="1">
      <alignment horizontal="center" vertical="center" wrapText="1"/>
    </xf>
    <xf numFmtId="0" fontId="0" fillId="5" borderId="1" xfId="0" applyFill="1" applyBorder="1"/>
    <xf numFmtId="0" fontId="2" fillId="8" borderId="33" xfId="0" applyFont="1" applyFill="1" applyBorder="1" applyAlignment="1">
      <alignment horizontal="center" vertical="center"/>
    </xf>
    <xf numFmtId="0" fontId="2" fillId="8" borderId="34" xfId="0" applyFont="1" applyFill="1" applyBorder="1" applyAlignment="1">
      <alignment horizontal="center" vertical="center"/>
    </xf>
    <xf numFmtId="0" fontId="2" fillId="8" borderId="35" xfId="0" applyFont="1" applyFill="1" applyBorder="1" applyAlignment="1">
      <alignment horizontal="center" vertical="center"/>
    </xf>
    <xf numFmtId="0" fontId="2" fillId="9" borderId="33" xfId="0" applyFont="1" applyFill="1" applyBorder="1" applyAlignment="1">
      <alignment horizontal="center" vertical="center"/>
    </xf>
    <xf numFmtId="0" fontId="2" fillId="9" borderId="34" xfId="0" applyFont="1" applyFill="1" applyBorder="1" applyAlignment="1">
      <alignment horizontal="center" vertical="center"/>
    </xf>
    <xf numFmtId="0" fontId="2" fillId="9" borderId="35" xfId="0" applyFont="1" applyFill="1" applyBorder="1" applyAlignment="1">
      <alignment horizontal="center" vertical="center"/>
    </xf>
    <xf numFmtId="0" fontId="2" fillId="10" borderId="30" xfId="0" applyFont="1" applyFill="1" applyBorder="1" applyAlignment="1">
      <alignment horizontal="center" vertical="center" wrapText="1"/>
    </xf>
    <xf numFmtId="0" fontId="2" fillId="10" borderId="31" xfId="0" applyFont="1" applyFill="1" applyBorder="1" applyAlignment="1">
      <alignment horizontal="center" vertical="center" wrapText="1"/>
    </xf>
    <xf numFmtId="0" fontId="2" fillId="10" borderId="32" xfId="0" applyFont="1" applyFill="1" applyBorder="1" applyAlignment="1">
      <alignment horizontal="center" vertical="center" wrapText="1"/>
    </xf>
    <xf numFmtId="0" fontId="2" fillId="11" borderId="31" xfId="0" applyFont="1" applyFill="1" applyBorder="1" applyAlignment="1">
      <alignment horizontal="center" vertical="center"/>
    </xf>
    <xf numFmtId="0" fontId="2" fillId="11" borderId="3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9" borderId="34" xfId="0" applyFont="1" applyFill="1" applyBorder="1" applyAlignment="1">
      <alignment horizontal="center" vertical="center" wrapText="1"/>
    </xf>
    <xf numFmtId="0" fontId="2" fillId="11" borderId="30" xfId="0" applyFont="1" applyFill="1" applyBorder="1" applyAlignment="1">
      <alignment horizontal="center" vertical="center" wrapText="1"/>
    </xf>
    <xf numFmtId="0" fontId="0" fillId="0" borderId="27" xfId="0" applyBorder="1" applyAlignment="1">
      <alignment vertical="top" wrapText="1"/>
    </xf>
    <xf numFmtId="0" fontId="0" fillId="0" borderId="0" xfId="0" applyAlignment="1">
      <alignment horizontal="center" vertical="top"/>
    </xf>
    <xf numFmtId="0" fontId="1" fillId="0" borderId="24" xfId="0" applyFont="1" applyBorder="1" applyAlignment="1">
      <alignment horizontal="center" vertical="top" wrapText="1"/>
    </xf>
    <xf numFmtId="0" fontId="0" fillId="0" borderId="28" xfId="0" applyBorder="1" applyAlignment="1">
      <alignment vertical="top" wrapText="1"/>
    </xf>
    <xf numFmtId="0" fontId="0" fillId="0" borderId="29" xfId="0" applyBorder="1" applyAlignment="1">
      <alignment vertical="top" wrapText="1"/>
    </xf>
    <xf numFmtId="0" fontId="0" fillId="0" borderId="28" xfId="0" applyBorder="1" applyAlignment="1">
      <alignment vertical="top"/>
    </xf>
    <xf numFmtId="0" fontId="0" fillId="0" borderId="0" xfId="0" applyAlignment="1">
      <alignment vertical="top"/>
    </xf>
    <xf numFmtId="0" fontId="2" fillId="5" borderId="1" xfId="0" applyFont="1" applyFill="1" applyBorder="1" applyAlignment="1">
      <alignment horizontal="justify" vertical="center" wrapText="1"/>
    </xf>
    <xf numFmtId="0" fontId="2" fillId="3" borderId="36" xfId="0" applyFont="1" applyFill="1" applyBorder="1" applyAlignment="1">
      <alignment horizontal="center" vertical="center"/>
    </xf>
    <xf numFmtId="0" fontId="2" fillId="3" borderId="37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0" borderId="38" xfId="0" applyFont="1" applyBorder="1" applyAlignment="1">
      <alignment horizontal="center" vertical="center" wrapText="1"/>
    </xf>
    <xf numFmtId="0" fontId="1" fillId="2" borderId="24" xfId="0" applyFont="1" applyFill="1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justify" vertical="center"/>
    </xf>
    <xf numFmtId="0" fontId="1" fillId="10" borderId="13" xfId="0" applyFont="1" applyFill="1" applyBorder="1" applyAlignment="1">
      <alignment horizontal="justify" vertical="center" wrapText="1"/>
    </xf>
    <xf numFmtId="0" fontId="1" fillId="11" borderId="13" xfId="0" applyFont="1" applyFill="1" applyBorder="1" applyAlignment="1">
      <alignment horizontal="justify" vertical="center"/>
    </xf>
    <xf numFmtId="0" fontId="0" fillId="0" borderId="1" xfId="0" applyBorder="1" applyAlignment="1">
      <alignment horizontal="center" vertical="center" wrapText="1"/>
    </xf>
    <xf numFmtId="0" fontId="1" fillId="8" borderId="13" xfId="0" applyFont="1" applyFill="1" applyBorder="1" applyAlignment="1">
      <alignment horizontal="justify" vertical="center"/>
    </xf>
    <xf numFmtId="0" fontId="2" fillId="8" borderId="13" xfId="0" applyFont="1" applyFill="1" applyBorder="1" applyAlignment="1">
      <alignment horizontal="justify" vertical="center"/>
    </xf>
    <xf numFmtId="0" fontId="2" fillId="8" borderId="14" xfId="0" applyFont="1" applyFill="1" applyBorder="1" applyAlignment="1">
      <alignment horizontal="justify" vertical="center"/>
    </xf>
    <xf numFmtId="0" fontId="2" fillId="8" borderId="15" xfId="0" applyFont="1" applyFill="1" applyBorder="1" applyAlignment="1">
      <alignment horizontal="justify" vertical="center"/>
    </xf>
    <xf numFmtId="0" fontId="1" fillId="9" borderId="13" xfId="0" applyFont="1" applyFill="1" applyBorder="1" applyAlignment="1">
      <alignment horizontal="justify" vertical="center"/>
    </xf>
    <xf numFmtId="0" fontId="2" fillId="9" borderId="13" xfId="0" applyFont="1" applyFill="1" applyBorder="1" applyAlignment="1">
      <alignment horizontal="justify" vertical="center"/>
    </xf>
    <xf numFmtId="0" fontId="2" fillId="9" borderId="14" xfId="0" applyFont="1" applyFill="1" applyBorder="1" applyAlignment="1">
      <alignment horizontal="justify" vertical="center"/>
    </xf>
    <xf numFmtId="0" fontId="2" fillId="9" borderId="15" xfId="0" applyFont="1" applyFill="1" applyBorder="1" applyAlignment="1">
      <alignment horizontal="justify" vertical="center"/>
    </xf>
    <xf numFmtId="10" fontId="0" fillId="0" borderId="1" xfId="2" applyNumberFormat="1" applyFont="1" applyBorder="1"/>
    <xf numFmtId="10" fontId="10" fillId="12" borderId="1" xfId="2" applyNumberFormat="1" applyFont="1" applyFill="1" applyBorder="1"/>
    <xf numFmtId="0" fontId="0" fillId="13" borderId="1" xfId="0" applyFill="1" applyBorder="1" applyAlignment="1">
      <alignment horizontal="center" vertical="center" wrapText="1"/>
    </xf>
    <xf numFmtId="10" fontId="10" fillId="12" borderId="1" xfId="2" applyNumberFormat="1" applyFont="1" applyFill="1" applyBorder="1" applyAlignment="1">
      <alignment horizontal="right"/>
    </xf>
    <xf numFmtId="10" fontId="10" fillId="14" borderId="1" xfId="2" applyNumberFormat="1" applyFont="1" applyFill="1" applyBorder="1" applyAlignment="1">
      <alignment horizontal="right"/>
    </xf>
    <xf numFmtId="10" fontId="0" fillId="13" borderId="1" xfId="2" applyNumberFormat="1" applyFont="1" applyFill="1" applyBorder="1" applyAlignment="1">
      <alignment horizontal="right" vertical="center" wrapText="1"/>
    </xf>
    <xf numFmtId="0" fontId="11" fillId="0" borderId="0" xfId="0" applyFont="1"/>
    <xf numFmtId="2" fontId="0" fillId="0" borderId="0" xfId="0" applyNumberFormat="1"/>
    <xf numFmtId="0" fontId="11" fillId="6" borderId="0" xfId="0" applyFont="1" applyFill="1"/>
    <xf numFmtId="2" fontId="0" fillId="6" borderId="0" xfId="0" applyNumberFormat="1" applyFill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5" borderId="0" xfId="0" applyFill="1"/>
    <xf numFmtId="2" fontId="0" fillId="5" borderId="0" xfId="0" applyNumberFormat="1" applyFill="1"/>
    <xf numFmtId="1" fontId="0" fillId="5" borderId="0" xfId="0" applyNumberFormat="1" applyFill="1"/>
    <xf numFmtId="0" fontId="0" fillId="6" borderId="1" xfId="0" applyFill="1" applyBorder="1"/>
    <xf numFmtId="2" fontId="0" fillId="0" borderId="1" xfId="0" applyNumberFormat="1" applyBorder="1"/>
    <xf numFmtId="2" fontId="0" fillId="6" borderId="1" xfId="0" applyNumberFormat="1" applyFill="1" applyBorder="1"/>
    <xf numFmtId="165" fontId="0" fillId="0" borderId="0" xfId="0" applyNumberFormat="1"/>
    <xf numFmtId="0" fontId="13" fillId="6" borderId="0" xfId="0" applyFont="1" applyFill="1"/>
    <xf numFmtId="10" fontId="0" fillId="0" borderId="0" xfId="0" applyNumberFormat="1"/>
    <xf numFmtId="0" fontId="0" fillId="15" borderId="1" xfId="0" applyFill="1" applyBorder="1"/>
    <xf numFmtId="0" fontId="0" fillId="9" borderId="1" xfId="0" applyFill="1" applyBorder="1"/>
    <xf numFmtId="0" fontId="0" fillId="16" borderId="1" xfId="0" applyFill="1" applyBorder="1"/>
    <xf numFmtId="0" fontId="13" fillId="16" borderId="31" xfId="0" applyFont="1" applyFill="1" applyBorder="1"/>
    <xf numFmtId="0" fontId="0" fillId="16" borderId="31" xfId="0" applyFill="1" applyBorder="1"/>
    <xf numFmtId="1" fontId="0" fillId="16" borderId="1" xfId="0" applyNumberFormat="1" applyFill="1" applyBorder="1"/>
    <xf numFmtId="2" fontId="0" fillId="16" borderId="31" xfId="0" applyNumberFormat="1" applyFill="1" applyBorder="1"/>
    <xf numFmtId="165" fontId="0" fillId="16" borderId="1" xfId="0" applyNumberFormat="1" applyFill="1" applyBorder="1"/>
    <xf numFmtId="0" fontId="13" fillId="15" borderId="1" xfId="0" applyFont="1" applyFill="1" applyBorder="1"/>
    <xf numFmtId="0" fontId="13" fillId="0" borderId="0" xfId="0" applyFont="1"/>
    <xf numFmtId="2" fontId="0" fillId="9" borderId="1" xfId="0" applyNumberFormat="1" applyFill="1" applyBorder="1"/>
    <xf numFmtId="0" fontId="0" fillId="9" borderId="2" xfId="0" applyFill="1" applyBorder="1"/>
    <xf numFmtId="2" fontId="0" fillId="9" borderId="2" xfId="0" applyNumberFormat="1" applyFill="1" applyBorder="1"/>
    <xf numFmtId="0" fontId="12" fillId="0" borderId="1" xfId="0" applyFont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8" borderId="17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9" borderId="17" xfId="0" applyFont="1" applyFill="1" applyBorder="1" applyAlignment="1">
      <alignment horizontal="center" vertical="center" wrapText="1"/>
    </xf>
    <xf numFmtId="0" fontId="1" fillId="9" borderId="5" xfId="0" applyFont="1" applyFill="1" applyBorder="1" applyAlignment="1">
      <alignment horizontal="center" vertical="center" wrapText="1"/>
    </xf>
    <xf numFmtId="0" fontId="1" fillId="10" borderId="7" xfId="0" applyFont="1" applyFill="1" applyBorder="1" applyAlignment="1">
      <alignment horizontal="center" vertical="center" wrapText="1"/>
    </xf>
    <xf numFmtId="0" fontId="1" fillId="10" borderId="8" xfId="0" applyFont="1" applyFill="1" applyBorder="1" applyAlignment="1">
      <alignment horizontal="center" vertical="center" wrapText="1"/>
    </xf>
    <xf numFmtId="0" fontId="1" fillId="10" borderId="9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11" borderId="17" xfId="0" applyFont="1" applyFill="1" applyBorder="1" applyAlignment="1">
      <alignment horizontal="center" vertical="center" wrapText="1"/>
    </xf>
    <xf numFmtId="0" fontId="1" fillId="11" borderId="5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10" borderId="17" xfId="0" applyFont="1" applyFill="1" applyBorder="1" applyAlignment="1">
      <alignment horizontal="center" vertical="center" wrapText="1"/>
    </xf>
    <xf numFmtId="0" fontId="1" fillId="10" borderId="5" xfId="0" applyFont="1" applyFill="1" applyBorder="1" applyAlignment="1">
      <alignment horizontal="center" vertical="center" wrapText="1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colors>
    <mruColors>
      <color rgb="FF59595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969816272965879E-2"/>
          <c:y val="0.12456759026028548"/>
          <c:w val="0.88055796150481191"/>
          <c:h val="0.5895608137144066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'Lorenz IMAP'!$O$2</c:f>
              <c:strCache>
                <c:ptCount val="1"/>
                <c:pt idx="0">
                  <c:v>Curva de Lorenz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'Lorenz IMAP'!$N$3:$N$38</c:f>
              <c:numCache>
                <c:formatCode>0.0000000</c:formatCode>
                <c:ptCount val="36"/>
                <c:pt idx="0">
                  <c:v>0</c:v>
                </c:pt>
                <c:pt idx="1">
                  <c:v>2.8571428571428571E-2</c:v>
                </c:pt>
                <c:pt idx="2">
                  <c:v>5.7142857142857141E-2</c:v>
                </c:pt>
                <c:pt idx="3">
                  <c:v>8.5714285714285715E-2</c:v>
                </c:pt>
                <c:pt idx="4">
                  <c:v>0.11428571428571428</c:v>
                </c:pt>
                <c:pt idx="5">
                  <c:v>0.14285714285714285</c:v>
                </c:pt>
                <c:pt idx="6">
                  <c:v>0.17142857142857143</c:v>
                </c:pt>
                <c:pt idx="7">
                  <c:v>0.2</c:v>
                </c:pt>
                <c:pt idx="8">
                  <c:v>0.22857142857142856</c:v>
                </c:pt>
                <c:pt idx="9">
                  <c:v>0.25714285714285712</c:v>
                </c:pt>
                <c:pt idx="10">
                  <c:v>0.2857142857142857</c:v>
                </c:pt>
                <c:pt idx="11">
                  <c:v>0.31428571428571428</c:v>
                </c:pt>
                <c:pt idx="12">
                  <c:v>0.34285714285714286</c:v>
                </c:pt>
                <c:pt idx="13">
                  <c:v>0.37142857142857144</c:v>
                </c:pt>
                <c:pt idx="14">
                  <c:v>0.4</c:v>
                </c:pt>
                <c:pt idx="15">
                  <c:v>0.42857142857142855</c:v>
                </c:pt>
                <c:pt idx="16">
                  <c:v>0.45714285714285713</c:v>
                </c:pt>
                <c:pt idx="17">
                  <c:v>0.48571428571428571</c:v>
                </c:pt>
                <c:pt idx="18">
                  <c:v>0.51428571428571423</c:v>
                </c:pt>
                <c:pt idx="19">
                  <c:v>0.54285714285714282</c:v>
                </c:pt>
                <c:pt idx="20">
                  <c:v>0.5714285714285714</c:v>
                </c:pt>
                <c:pt idx="21">
                  <c:v>0.6</c:v>
                </c:pt>
                <c:pt idx="22">
                  <c:v>0.62857142857142856</c:v>
                </c:pt>
                <c:pt idx="23">
                  <c:v>0.65714285714285714</c:v>
                </c:pt>
                <c:pt idx="24">
                  <c:v>0.68571428571428572</c:v>
                </c:pt>
                <c:pt idx="25">
                  <c:v>0.7142857142857143</c:v>
                </c:pt>
                <c:pt idx="26">
                  <c:v>0.74285714285714288</c:v>
                </c:pt>
                <c:pt idx="27">
                  <c:v>0.77142857142857146</c:v>
                </c:pt>
                <c:pt idx="28">
                  <c:v>0.8</c:v>
                </c:pt>
                <c:pt idx="29">
                  <c:v>0.82857142857142863</c:v>
                </c:pt>
                <c:pt idx="30">
                  <c:v>0.8571428571428571</c:v>
                </c:pt>
                <c:pt idx="31">
                  <c:v>0.88571428571428568</c:v>
                </c:pt>
                <c:pt idx="32">
                  <c:v>0.91428571428571426</c:v>
                </c:pt>
                <c:pt idx="33">
                  <c:v>0.94285714285714284</c:v>
                </c:pt>
                <c:pt idx="34">
                  <c:v>0.97142857142857142</c:v>
                </c:pt>
                <c:pt idx="35">
                  <c:v>1</c:v>
                </c:pt>
              </c:numCache>
            </c:numRef>
          </c:xVal>
          <c:yVal>
            <c:numRef>
              <c:f>'Lorenz IMAP'!$O$3:$O$38</c:f>
              <c:numCache>
                <c:formatCode>0.0000000</c:formatCode>
                <c:ptCount val="36"/>
                <c:pt idx="0">
                  <c:v>0</c:v>
                </c:pt>
                <c:pt idx="1">
                  <c:v>1.8650119529388415E-2</c:v>
                </c:pt>
                <c:pt idx="2">
                  <c:v>3.9267880914923961E-2</c:v>
                </c:pt>
                <c:pt idx="3">
                  <c:v>6.004068975835905E-2</c:v>
                </c:pt>
                <c:pt idx="4">
                  <c:v>8.1735904145779914E-2</c:v>
                </c:pt>
                <c:pt idx="5">
                  <c:v>0.10409456021694982</c:v>
                </c:pt>
                <c:pt idx="6">
                  <c:v>0.12672044060036963</c:v>
                </c:pt>
                <c:pt idx="7">
                  <c:v>0.15130665428317311</c:v>
                </c:pt>
                <c:pt idx="8">
                  <c:v>0.17590602596433799</c:v>
                </c:pt>
                <c:pt idx="9">
                  <c:v>0.20103723670334953</c:v>
                </c:pt>
                <c:pt idx="10">
                  <c:v>0.22630388729424381</c:v>
                </c:pt>
                <c:pt idx="11">
                  <c:v>0.25216114769037468</c:v>
                </c:pt>
                <c:pt idx="12">
                  <c:v>0.27806511056133415</c:v>
                </c:pt>
                <c:pt idx="13">
                  <c:v>0.30426694908125446</c:v>
                </c:pt>
                <c:pt idx="14">
                  <c:v>0.33096278213649494</c:v>
                </c:pt>
                <c:pt idx="15">
                  <c:v>0.35822123510759796</c:v>
                </c:pt>
                <c:pt idx="16">
                  <c:v>0.38589107766775943</c:v>
                </c:pt>
                <c:pt idx="17">
                  <c:v>0.4147870524569704</c:v>
                </c:pt>
                <c:pt idx="18">
                  <c:v>0.44424880618571411</c:v>
                </c:pt>
                <c:pt idx="19">
                  <c:v>0.47374711656900487</c:v>
                </c:pt>
                <c:pt idx="20">
                  <c:v>0.50383416160277461</c:v>
                </c:pt>
                <c:pt idx="21">
                  <c:v>0.53447457310555502</c:v>
                </c:pt>
                <c:pt idx="22">
                  <c:v>0.56512978438721406</c:v>
                </c:pt>
                <c:pt idx="23">
                  <c:v>0.59590905281393958</c:v>
                </c:pt>
                <c:pt idx="24">
                  <c:v>0.62671563437114719</c:v>
                </c:pt>
                <c:pt idx="25">
                  <c:v>0.65786760892855578</c:v>
                </c:pt>
                <c:pt idx="26">
                  <c:v>0.68912853135718233</c:v>
                </c:pt>
                <c:pt idx="27">
                  <c:v>0.72040720274659265</c:v>
                </c:pt>
                <c:pt idx="28">
                  <c:v>0.75239577438527083</c:v>
                </c:pt>
                <c:pt idx="29">
                  <c:v>0.7848341736124238</c:v>
                </c:pt>
                <c:pt idx="30">
                  <c:v>0.81838359918416714</c:v>
                </c:pt>
                <c:pt idx="31">
                  <c:v>0.85340922146183362</c:v>
                </c:pt>
                <c:pt idx="32">
                  <c:v>0.88845072138508363</c:v>
                </c:pt>
                <c:pt idx="33">
                  <c:v>0.92374443320429855</c:v>
                </c:pt>
                <c:pt idx="34">
                  <c:v>0.96181588739043666</c:v>
                </c:pt>
                <c:pt idx="3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54-4BE0-90F0-32E51823235A}"/>
            </c:ext>
          </c:extLst>
        </c:ser>
        <c:ser>
          <c:idx val="1"/>
          <c:order val="1"/>
          <c:tx>
            <c:strRef>
              <c:f>'Lorenz IMAP'!$S$2</c:f>
              <c:strCache>
                <c:ptCount val="1"/>
                <c:pt idx="0">
                  <c:v>igualdade perfeita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'Lorenz IMAP'!$R$9:$R$10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'Lorenz IMAP'!$S$9:$S$10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954-4BE0-90F0-32E5182323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1466655"/>
        <c:axId val="931467135"/>
      </c:scatterChart>
      <c:valAx>
        <c:axId val="931466655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1467135"/>
        <c:crosses val="autoZero"/>
        <c:crossBetween val="midCat"/>
        <c:majorUnit val="0.2"/>
      </c:valAx>
      <c:valAx>
        <c:axId val="93146713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1466655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406064775883594"/>
          <c:y val="0.81291312137620075"/>
          <c:w val="0.28368197725284339"/>
          <c:h val="0.113350919296297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</a:t>
            </a:r>
            <a:r>
              <a:rPr lang="pt-BR" baseline="0"/>
              <a:t> de Lorenz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6.4980675786198816E-2"/>
          <c:y val="0.15710292119091487"/>
          <c:w val="0.87477353518182932"/>
          <c:h val="0.5788762353709302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'Lorenz IMAP'!$K$2</c:f>
              <c:strCache>
                <c:ptCount val="1"/>
                <c:pt idx="0">
                  <c:v>curva de lorenz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'Lorenz IMAP'!$J$3:$J$38</c:f>
              <c:numCache>
                <c:formatCode>0</c:formatCode>
                <c:ptCount val="36"/>
                <c:pt idx="0" formatCode="General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</c:numCache>
            </c:numRef>
          </c:xVal>
          <c:yVal>
            <c:numRef>
              <c:f>'Lorenz IMAP'!$K$3:$K$38</c:f>
              <c:numCache>
                <c:formatCode>0.00</c:formatCode>
                <c:ptCount val="36"/>
                <c:pt idx="0" formatCode="General">
                  <c:v>0</c:v>
                </c:pt>
                <c:pt idx="1">
                  <c:v>0.31665819618426616</c:v>
                </c:pt>
                <c:pt idx="2">
                  <c:v>0.66672475309900348</c:v>
                </c:pt>
                <c:pt idx="3">
                  <c:v>1.0194238426505455</c:v>
                </c:pt>
                <c:pt idx="4">
                  <c:v>1.3877843479505838</c:v>
                </c:pt>
                <c:pt idx="5">
                  <c:v>1.7674093519321656</c:v>
                </c:pt>
                <c:pt idx="6">
                  <c:v>2.1515715262284094</c:v>
                </c:pt>
                <c:pt idx="7">
                  <c:v>2.5690179701254245</c:v>
                </c:pt>
                <c:pt idx="8">
                  <c:v>2.9866878221362572</c:v>
                </c:pt>
                <c:pt idx="9">
                  <c:v>3.4133877072497016</c:v>
                </c:pt>
                <c:pt idx="10">
                  <c:v>3.8423872097527871</c:v>
                </c:pt>
                <c:pt idx="11">
                  <c:v>4.2814146069983305</c:v>
                </c:pt>
                <c:pt idx="12">
                  <c:v>4.7212349600966901</c:v>
                </c:pt>
                <c:pt idx="13">
                  <c:v>5.16611290896748</c:v>
                </c:pt>
                <c:pt idx="14">
                  <c:v>5.6193783332232341</c:v>
                </c:pt>
                <c:pt idx="15">
                  <c:v>6.0821964151664432</c:v>
                </c:pt>
                <c:pt idx="16">
                  <c:v>6.5519994327823143</c:v>
                </c:pt>
                <c:pt idx="17">
                  <c:v>7.0426208059761422</c:v>
                </c:pt>
                <c:pt idx="18">
                  <c:v>7.5428484735505066</c:v>
                </c:pt>
                <c:pt idx="19">
                  <c:v>8.0436968322828637</c:v>
                </c:pt>
                <c:pt idx="20">
                  <c:v>8.5545412477245666</c:v>
                </c:pt>
                <c:pt idx="21">
                  <c:v>9.0747812076628964</c:v>
                </c:pt>
                <c:pt idx="22">
                  <c:v>9.595272451314246</c:v>
                </c:pt>
                <c:pt idx="23">
                  <c:v>10.117870046708738</c:v>
                </c:pt>
                <c:pt idx="24">
                  <c:v>10.640931388548232</c:v>
                </c:pt>
                <c:pt idx="25">
                  <c:v>11.169857117704169</c:v>
                </c:pt>
                <c:pt idx="26">
                  <c:v>11.700632660011365</c:v>
                </c:pt>
                <c:pt idx="27">
                  <c:v>12.231709559845898</c:v>
                </c:pt>
                <c:pt idx="28">
                  <c:v>12.774839772907175</c:v>
                </c:pt>
                <c:pt idx="29">
                  <c:v>13.325607555933399</c:v>
                </c:pt>
                <c:pt idx="30">
                  <c:v>13.895239325200398</c:v>
                </c:pt>
                <c:pt idx="31">
                  <c:v>14.489935265524005</c:v>
                </c:pt>
                <c:pt idx="32">
                  <c:v>15.084900790533235</c:v>
                </c:pt>
                <c:pt idx="33">
                  <c:v>15.684148591798474</c:v>
                </c:pt>
                <c:pt idx="34">
                  <c:v>16.330559355530976</c:v>
                </c:pt>
                <c:pt idx="35">
                  <c:v>16.978882933446283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9C2-4C2D-8C3E-7563AB1D7F9E}"/>
            </c:ext>
          </c:extLst>
        </c:ser>
        <c:ser>
          <c:idx val="1"/>
          <c:order val="1"/>
          <c:tx>
            <c:strRef>
              <c:f>'Lorenz IMAP'!$S$2</c:f>
              <c:strCache>
                <c:ptCount val="1"/>
                <c:pt idx="0">
                  <c:v>igualdade perfeita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'Lorenz IMAP'!$R$3:$R$4</c:f>
              <c:numCache>
                <c:formatCode>General</c:formatCode>
                <c:ptCount val="2"/>
                <c:pt idx="0">
                  <c:v>0</c:v>
                </c:pt>
                <c:pt idx="1">
                  <c:v>35</c:v>
                </c:pt>
              </c:numCache>
            </c:numRef>
          </c:xVal>
          <c:yVal>
            <c:numRef>
              <c:f>'Lorenz IMAP'!$S$3:$S$4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16.978882933446283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9C2-4C2D-8C3E-7563AB1D7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7129760"/>
        <c:axId val="447130240"/>
      </c:scatterChart>
      <c:valAx>
        <c:axId val="447129760"/>
        <c:scaling>
          <c:orientation val="minMax"/>
          <c:max val="3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7130240"/>
        <c:crosses val="autoZero"/>
        <c:crossBetween val="midCat"/>
      </c:valAx>
      <c:valAx>
        <c:axId val="447130240"/>
        <c:scaling>
          <c:orientation val="minMax"/>
          <c:max val="17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7129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6829460472227127"/>
          <c:y val="0.82256708181018479"/>
          <c:w val="0.25887328722692932"/>
          <c:h val="0.110701838935472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969816272965879E-2"/>
          <c:y val="0.12456759026028548"/>
          <c:w val="0.88055796150481191"/>
          <c:h val="0.5895608137144066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'Lorenz Caminhabilidade'!$O$2</c:f>
              <c:strCache>
                <c:ptCount val="1"/>
                <c:pt idx="0">
                  <c:v>Curva de Lorenz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'Lorenz Caminhabilidade'!$N$3:$N$38</c:f>
              <c:numCache>
                <c:formatCode>0.0000000</c:formatCode>
                <c:ptCount val="36"/>
                <c:pt idx="0">
                  <c:v>0</c:v>
                </c:pt>
                <c:pt idx="1">
                  <c:v>2.8571428571428571E-2</c:v>
                </c:pt>
                <c:pt idx="2">
                  <c:v>5.7142857142857141E-2</c:v>
                </c:pt>
                <c:pt idx="3">
                  <c:v>8.5714285714285715E-2</c:v>
                </c:pt>
                <c:pt idx="4">
                  <c:v>0.11428571428571428</c:v>
                </c:pt>
                <c:pt idx="5">
                  <c:v>0.14285714285714285</c:v>
                </c:pt>
                <c:pt idx="6">
                  <c:v>0.17142857142857143</c:v>
                </c:pt>
                <c:pt idx="7">
                  <c:v>0.2</c:v>
                </c:pt>
                <c:pt idx="8">
                  <c:v>0.22857142857142856</c:v>
                </c:pt>
                <c:pt idx="9">
                  <c:v>0.25714285714285712</c:v>
                </c:pt>
                <c:pt idx="10">
                  <c:v>0.2857142857142857</c:v>
                </c:pt>
                <c:pt idx="11">
                  <c:v>0.31428571428571428</c:v>
                </c:pt>
                <c:pt idx="12">
                  <c:v>0.34285714285714286</c:v>
                </c:pt>
                <c:pt idx="13">
                  <c:v>0.37142857142857144</c:v>
                </c:pt>
                <c:pt idx="14">
                  <c:v>0.4</c:v>
                </c:pt>
                <c:pt idx="15">
                  <c:v>0.42857142857142855</c:v>
                </c:pt>
                <c:pt idx="16">
                  <c:v>0.45714285714285713</c:v>
                </c:pt>
                <c:pt idx="17">
                  <c:v>0.48571428571428571</c:v>
                </c:pt>
                <c:pt idx="18">
                  <c:v>0.51428571428571423</c:v>
                </c:pt>
                <c:pt idx="19">
                  <c:v>0.54285714285714282</c:v>
                </c:pt>
                <c:pt idx="20">
                  <c:v>0.5714285714285714</c:v>
                </c:pt>
                <c:pt idx="21">
                  <c:v>0.6</c:v>
                </c:pt>
                <c:pt idx="22">
                  <c:v>0.62857142857142856</c:v>
                </c:pt>
                <c:pt idx="23">
                  <c:v>0.65714285714285714</c:v>
                </c:pt>
                <c:pt idx="24">
                  <c:v>0.68571428571428572</c:v>
                </c:pt>
                <c:pt idx="25">
                  <c:v>0.7142857142857143</c:v>
                </c:pt>
                <c:pt idx="26">
                  <c:v>0.74285714285714288</c:v>
                </c:pt>
                <c:pt idx="27">
                  <c:v>0.77142857142857146</c:v>
                </c:pt>
                <c:pt idx="28">
                  <c:v>0.8</c:v>
                </c:pt>
                <c:pt idx="29">
                  <c:v>0.82857142857142863</c:v>
                </c:pt>
                <c:pt idx="30">
                  <c:v>0.8571428571428571</c:v>
                </c:pt>
                <c:pt idx="31">
                  <c:v>0.88571428571428568</c:v>
                </c:pt>
                <c:pt idx="32">
                  <c:v>0.91428571428571426</c:v>
                </c:pt>
                <c:pt idx="33">
                  <c:v>0.94285714285714284</c:v>
                </c:pt>
                <c:pt idx="34">
                  <c:v>0.97142857142857142</c:v>
                </c:pt>
                <c:pt idx="35">
                  <c:v>1</c:v>
                </c:pt>
              </c:numCache>
            </c:numRef>
          </c:xVal>
          <c:yVal>
            <c:numRef>
              <c:f>'Lorenz Caminhabilidade'!$O$3:$O$38</c:f>
              <c:numCache>
                <c:formatCode>0.0000000</c:formatCode>
                <c:ptCount val="36"/>
                <c:pt idx="0">
                  <c:v>0</c:v>
                </c:pt>
                <c:pt idx="1">
                  <c:v>1.3493543992838145E-2</c:v>
                </c:pt>
                <c:pt idx="2">
                  <c:v>2.7489980447269927E-2</c:v>
                </c:pt>
                <c:pt idx="3">
                  <c:v>4.426442466394067E-2</c:v>
                </c:pt>
                <c:pt idx="4">
                  <c:v>6.1286170475747914E-2</c:v>
                </c:pt>
                <c:pt idx="5">
                  <c:v>7.8849903295481458E-2</c:v>
                </c:pt>
                <c:pt idx="6">
                  <c:v>9.7333938918908056E-2</c:v>
                </c:pt>
                <c:pt idx="7">
                  <c:v>0.11686669970098588</c:v>
                </c:pt>
                <c:pt idx="8">
                  <c:v>0.13834377138538725</c:v>
                </c:pt>
                <c:pt idx="9">
                  <c:v>0.16284864986866907</c:v>
                </c:pt>
                <c:pt idx="10">
                  <c:v>0.18758551744482616</c:v>
                </c:pt>
                <c:pt idx="11">
                  <c:v>0.21309945816391679</c:v>
                </c:pt>
                <c:pt idx="12">
                  <c:v>0.23971640863316762</c:v>
                </c:pt>
                <c:pt idx="13">
                  <c:v>0.26672424845990939</c:v>
                </c:pt>
                <c:pt idx="14">
                  <c:v>0.2942279738611781</c:v>
                </c:pt>
                <c:pt idx="15">
                  <c:v>0.32268916681566201</c:v>
                </c:pt>
                <c:pt idx="16">
                  <c:v>0.35306699146826093</c:v>
                </c:pt>
                <c:pt idx="17">
                  <c:v>0.38406272798507246</c:v>
                </c:pt>
                <c:pt idx="18">
                  <c:v>0.41512821503291797</c:v>
                </c:pt>
                <c:pt idx="19">
                  <c:v>0.44648927542938821</c:v>
                </c:pt>
                <c:pt idx="20">
                  <c:v>0.47802204822396938</c:v>
                </c:pt>
                <c:pt idx="21">
                  <c:v>0.50961751221575835</c:v>
                </c:pt>
                <c:pt idx="22">
                  <c:v>0.5417879446650965</c:v>
                </c:pt>
                <c:pt idx="23">
                  <c:v>0.57410817042615858</c:v>
                </c:pt>
                <c:pt idx="24">
                  <c:v>0.60652789183691003</c:v>
                </c:pt>
                <c:pt idx="25">
                  <c:v>0.63959946963036396</c:v>
                </c:pt>
                <c:pt idx="26">
                  <c:v>0.67330047586459729</c:v>
                </c:pt>
                <c:pt idx="27">
                  <c:v>0.70700465500581011</c:v>
                </c:pt>
                <c:pt idx="28">
                  <c:v>0.74086522648078168</c:v>
                </c:pt>
                <c:pt idx="29">
                  <c:v>0.77523160938443503</c:v>
                </c:pt>
                <c:pt idx="30">
                  <c:v>0.81022198309763249</c:v>
                </c:pt>
                <c:pt idx="31">
                  <c:v>0.84521586732857745</c:v>
                </c:pt>
                <c:pt idx="32">
                  <c:v>0.88223764332532428</c:v>
                </c:pt>
                <c:pt idx="33">
                  <c:v>0.92018449014604708</c:v>
                </c:pt>
                <c:pt idx="34">
                  <c:v>0.95962748640631035</c:v>
                </c:pt>
                <c:pt idx="3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72-4FAA-8206-367EE584466E}"/>
            </c:ext>
          </c:extLst>
        </c:ser>
        <c:ser>
          <c:idx val="1"/>
          <c:order val="1"/>
          <c:tx>
            <c:strRef>
              <c:f>'Lorenz Caminhabilidade'!$S$2</c:f>
              <c:strCache>
                <c:ptCount val="1"/>
                <c:pt idx="0">
                  <c:v>igualdade perfeita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'Lorenz Caminhabilidade'!$R$9:$R$10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'Lorenz Caminhabilidade'!$S$9:$S$10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872-4FAA-8206-367EE5844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1466655"/>
        <c:axId val="931467135"/>
      </c:scatterChart>
      <c:valAx>
        <c:axId val="931466655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1467135"/>
        <c:crosses val="autoZero"/>
        <c:crossBetween val="midCat"/>
        <c:majorUnit val="0.2"/>
      </c:valAx>
      <c:valAx>
        <c:axId val="93146713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1466655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629365746757379"/>
          <c:y val="0.81963016587662063"/>
          <c:w val="0.28368197725284339"/>
          <c:h val="0.113350919296297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595959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595959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</a:t>
            </a:r>
            <a:r>
              <a:rPr lang="pt-BR" baseline="0"/>
              <a:t> de Lorenz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6.4980675786198816E-2"/>
          <c:y val="0.15710292119091487"/>
          <c:w val="0.87477353518182932"/>
          <c:h val="0.5788762353709302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'Lorenz Caminhabilidade'!$K$2</c:f>
              <c:strCache>
                <c:ptCount val="1"/>
                <c:pt idx="0">
                  <c:v>curva de lorenz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'Lorenz Caminhabilidade'!$J$3:$J$38</c:f>
              <c:numCache>
                <c:formatCode>0</c:formatCode>
                <c:ptCount val="36"/>
                <c:pt idx="0" formatCode="General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</c:numCache>
            </c:numRef>
          </c:xVal>
          <c:yVal>
            <c:numRef>
              <c:f>'Lorenz Caminhabilidade'!$K$3:$K$38</c:f>
              <c:numCache>
                <c:formatCode>0.00</c:formatCode>
                <c:ptCount val="36"/>
                <c:pt idx="0" formatCode="General">
                  <c:v>0</c:v>
                </c:pt>
                <c:pt idx="1">
                  <c:v>0.27657685500000001</c:v>
                </c:pt>
                <c:pt idx="2">
                  <c:v>0.56346148499999993</c:v>
                </c:pt>
                <c:pt idx="3">
                  <c:v>0.90728687499999994</c:v>
                </c:pt>
                <c:pt idx="4">
                  <c:v>1.2561811999999999</c:v>
                </c:pt>
                <c:pt idx="5">
                  <c:v>1.6161846199999998</c:v>
                </c:pt>
                <c:pt idx="6">
                  <c:v>1.995051465</c:v>
                </c:pt>
                <c:pt idx="7">
                  <c:v>2.3954140050000001</c:v>
                </c:pt>
                <c:pt idx="8">
                  <c:v>2.8356290400000002</c:v>
                </c:pt>
                <c:pt idx="9">
                  <c:v>3.3379049600000004</c:v>
                </c:pt>
                <c:pt idx="10">
                  <c:v>3.8449359550000004</c:v>
                </c:pt>
                <c:pt idx="11">
                  <c:v>4.3678946000000005</c:v>
                </c:pt>
                <c:pt idx="12">
                  <c:v>4.9134616100000006</c:v>
                </c:pt>
                <c:pt idx="13">
                  <c:v>5.4670406700000003</c:v>
                </c:pt>
                <c:pt idx="14">
                  <c:v>6.030783885</c:v>
                </c:pt>
                <c:pt idx="15">
                  <c:v>6.6141522899999998</c:v>
                </c:pt>
                <c:pt idx="16">
                  <c:v>7.2368058499999997</c:v>
                </c:pt>
                <c:pt idx="17">
                  <c:v>7.8721247349999999</c:v>
                </c:pt>
                <c:pt idx="18">
                  <c:v>8.5088732950000008</c:v>
                </c:pt>
                <c:pt idx="19">
                  <c:v>9.1516802150000007</c:v>
                </c:pt>
                <c:pt idx="20">
                  <c:v>9.7980067200000001</c:v>
                </c:pt>
                <c:pt idx="21">
                  <c:v>10.445618205000001</c:v>
                </c:pt>
                <c:pt idx="22">
                  <c:v>11.105014805</c:v>
                </c:pt>
                <c:pt idx="23">
                  <c:v>11.767481714999999</c:v>
                </c:pt>
                <c:pt idx="24">
                  <c:v>12.431987984999999</c:v>
                </c:pt>
                <c:pt idx="25">
                  <c:v>13.109855339999999</c:v>
                </c:pt>
                <c:pt idx="26">
                  <c:v>13.800624075</c:v>
                </c:pt>
                <c:pt idx="27">
                  <c:v>14.491457844999999</c:v>
                </c:pt>
                <c:pt idx="28">
                  <c:v>15.185497184999999</c:v>
                </c:pt>
                <c:pt idx="29">
                  <c:v>15.88990413</c:v>
                </c:pt>
                <c:pt idx="30">
                  <c:v>16.607101</c:v>
                </c:pt>
                <c:pt idx="31">
                  <c:v>17.324369825000002</c:v>
                </c:pt>
                <c:pt idx="32">
                  <c:v>18.083204300000002</c:v>
                </c:pt>
                <c:pt idx="33">
                  <c:v>18.860999930000002</c:v>
                </c:pt>
                <c:pt idx="34">
                  <c:v>19.669462100000001</c:v>
                </c:pt>
                <c:pt idx="35">
                  <c:v>20.496976565000001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3D0-455D-8C61-EE49B3171D3E}"/>
            </c:ext>
          </c:extLst>
        </c:ser>
        <c:ser>
          <c:idx val="1"/>
          <c:order val="1"/>
          <c:tx>
            <c:strRef>
              <c:f>'Lorenz Caminhabilidade'!$S$2</c:f>
              <c:strCache>
                <c:ptCount val="1"/>
                <c:pt idx="0">
                  <c:v>igualdade perfeita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'Lorenz Caminhabilidade'!$R$3:$R$4</c:f>
              <c:numCache>
                <c:formatCode>General</c:formatCode>
                <c:ptCount val="2"/>
                <c:pt idx="0">
                  <c:v>0</c:v>
                </c:pt>
                <c:pt idx="1">
                  <c:v>35</c:v>
                </c:pt>
              </c:numCache>
            </c:numRef>
          </c:xVal>
          <c:yVal>
            <c:numRef>
              <c:f>'Lorenz Caminhabilidade'!$S$3:$S$4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20.496976565000001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3D0-455D-8C61-EE49B3171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7129760"/>
        <c:axId val="447130240"/>
      </c:scatterChart>
      <c:valAx>
        <c:axId val="447129760"/>
        <c:scaling>
          <c:orientation val="minMax"/>
          <c:max val="3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7130240"/>
        <c:crosses val="autoZero"/>
        <c:crossBetween val="midCat"/>
      </c:valAx>
      <c:valAx>
        <c:axId val="447130240"/>
        <c:scaling>
          <c:orientation val="minMax"/>
          <c:max val="2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7129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6829460472227127"/>
          <c:y val="0.82256708181018479"/>
          <c:w val="0.25887328722692932"/>
          <c:h val="0.110701838935472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969816272965879E-2"/>
          <c:y val="0.12456759026028548"/>
          <c:w val="0.88055796150481191"/>
          <c:h val="0.5895608137144066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'Lorenz Ciclabilidade'!$O$2</c:f>
              <c:strCache>
                <c:ptCount val="1"/>
                <c:pt idx="0">
                  <c:v>Curva de Lorenz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'Lorenz Ciclabilidade'!$N$3:$N$38</c:f>
              <c:numCache>
                <c:formatCode>0.0000000</c:formatCode>
                <c:ptCount val="36"/>
                <c:pt idx="0">
                  <c:v>0</c:v>
                </c:pt>
                <c:pt idx="1">
                  <c:v>2.8571428571428571E-2</c:v>
                </c:pt>
                <c:pt idx="2">
                  <c:v>5.7142857142857141E-2</c:v>
                </c:pt>
                <c:pt idx="3">
                  <c:v>8.5714285714285715E-2</c:v>
                </c:pt>
                <c:pt idx="4">
                  <c:v>0.11428571428571428</c:v>
                </c:pt>
                <c:pt idx="5">
                  <c:v>0.14285714285714285</c:v>
                </c:pt>
                <c:pt idx="6">
                  <c:v>0.17142857142857143</c:v>
                </c:pt>
                <c:pt idx="7">
                  <c:v>0.2</c:v>
                </c:pt>
                <c:pt idx="8">
                  <c:v>0.22857142857142856</c:v>
                </c:pt>
                <c:pt idx="9">
                  <c:v>0.25714285714285712</c:v>
                </c:pt>
                <c:pt idx="10">
                  <c:v>0.2857142857142857</c:v>
                </c:pt>
                <c:pt idx="11">
                  <c:v>0.31428571428571428</c:v>
                </c:pt>
                <c:pt idx="12">
                  <c:v>0.34285714285714286</c:v>
                </c:pt>
                <c:pt idx="13">
                  <c:v>0.37142857142857144</c:v>
                </c:pt>
                <c:pt idx="14">
                  <c:v>0.4</c:v>
                </c:pt>
                <c:pt idx="15">
                  <c:v>0.42857142857142855</c:v>
                </c:pt>
                <c:pt idx="16">
                  <c:v>0.45714285714285713</c:v>
                </c:pt>
                <c:pt idx="17">
                  <c:v>0.48571428571428571</c:v>
                </c:pt>
                <c:pt idx="18">
                  <c:v>0.51428571428571423</c:v>
                </c:pt>
                <c:pt idx="19">
                  <c:v>0.54285714285714282</c:v>
                </c:pt>
                <c:pt idx="20">
                  <c:v>0.5714285714285714</c:v>
                </c:pt>
                <c:pt idx="21">
                  <c:v>0.6</c:v>
                </c:pt>
                <c:pt idx="22">
                  <c:v>0.62857142857142856</c:v>
                </c:pt>
                <c:pt idx="23">
                  <c:v>0.65714285714285714</c:v>
                </c:pt>
                <c:pt idx="24">
                  <c:v>0.68571428571428572</c:v>
                </c:pt>
                <c:pt idx="25">
                  <c:v>0.7142857142857143</c:v>
                </c:pt>
                <c:pt idx="26">
                  <c:v>0.74285714285714288</c:v>
                </c:pt>
                <c:pt idx="27">
                  <c:v>0.77142857142857146</c:v>
                </c:pt>
                <c:pt idx="28">
                  <c:v>0.8</c:v>
                </c:pt>
                <c:pt idx="29">
                  <c:v>0.82857142857142863</c:v>
                </c:pt>
                <c:pt idx="30">
                  <c:v>0.8571428571428571</c:v>
                </c:pt>
                <c:pt idx="31">
                  <c:v>0.88571428571428568</c:v>
                </c:pt>
                <c:pt idx="32">
                  <c:v>0.91428571428571426</c:v>
                </c:pt>
                <c:pt idx="33">
                  <c:v>0.94285714285714284</c:v>
                </c:pt>
                <c:pt idx="34">
                  <c:v>0.97142857142857142</c:v>
                </c:pt>
                <c:pt idx="35">
                  <c:v>1</c:v>
                </c:pt>
              </c:numCache>
            </c:numRef>
          </c:xVal>
          <c:yVal>
            <c:numRef>
              <c:f>'Lorenz Ciclabilidade'!$O$3:$O$38</c:f>
              <c:numCache>
                <c:formatCode>0.0000000</c:formatCode>
                <c:ptCount val="36"/>
                <c:pt idx="0">
                  <c:v>0</c:v>
                </c:pt>
                <c:pt idx="1">
                  <c:v>1.8498910435260506E-3</c:v>
                </c:pt>
                <c:pt idx="2">
                  <c:v>6.3135431648282626E-3</c:v>
                </c:pt>
                <c:pt idx="3">
                  <c:v>1.2696565698290427E-2</c:v>
                </c:pt>
                <c:pt idx="4">
                  <c:v>2.2550458228211015E-2</c:v>
                </c:pt>
                <c:pt idx="5">
                  <c:v>3.27291762092237E-2</c:v>
                </c:pt>
                <c:pt idx="6">
                  <c:v>4.3155663546348491E-2</c:v>
                </c:pt>
                <c:pt idx="7">
                  <c:v>5.4040353102580582E-2</c:v>
                </c:pt>
                <c:pt idx="8">
                  <c:v>6.6279831360105929E-2</c:v>
                </c:pt>
                <c:pt idx="9">
                  <c:v>8.0623863776566482E-2</c:v>
                </c:pt>
                <c:pt idx="10">
                  <c:v>9.6485737808838859E-2</c:v>
                </c:pt>
                <c:pt idx="11">
                  <c:v>0.11517214404390111</c:v>
                </c:pt>
                <c:pt idx="12">
                  <c:v>0.13411334106537323</c:v>
                </c:pt>
                <c:pt idx="13">
                  <c:v>0.15363254940619006</c:v>
                </c:pt>
                <c:pt idx="14">
                  <c:v>0.17425703821314881</c:v>
                </c:pt>
                <c:pt idx="15">
                  <c:v>0.19625777895336974</c:v>
                </c:pt>
                <c:pt idx="16">
                  <c:v>0.21928128374478806</c:v>
                </c:pt>
                <c:pt idx="17">
                  <c:v>0.24378825004182286</c:v>
                </c:pt>
                <c:pt idx="18">
                  <c:v>0.27166288944175238</c:v>
                </c:pt>
                <c:pt idx="19">
                  <c:v>0.30011830796609079</c:v>
                </c:pt>
                <c:pt idx="20">
                  <c:v>0.32873853819709176</c:v>
                </c:pt>
                <c:pt idx="21">
                  <c:v>0.35958072932882779</c:v>
                </c:pt>
                <c:pt idx="22">
                  <c:v>0.39158511503856469</c:v>
                </c:pt>
                <c:pt idx="23">
                  <c:v>0.42567599839757619</c:v>
                </c:pt>
                <c:pt idx="24">
                  <c:v>0.46055203045576715</c:v>
                </c:pt>
                <c:pt idx="25">
                  <c:v>0.49627710203926678</c:v>
                </c:pt>
                <c:pt idx="26">
                  <c:v>0.53381588264466462</c:v>
                </c:pt>
                <c:pt idx="27">
                  <c:v>0.57183240794452939</c:v>
                </c:pt>
                <c:pt idx="28">
                  <c:v>0.61274624869347005</c:v>
                </c:pt>
                <c:pt idx="29">
                  <c:v>0.6559034784008706</c:v>
                </c:pt>
                <c:pt idx="30">
                  <c:v>0.6999087477966951</c:v>
                </c:pt>
                <c:pt idx="31">
                  <c:v>0.74958250190561126</c:v>
                </c:pt>
                <c:pt idx="32">
                  <c:v>0.80076198773243179</c:v>
                </c:pt>
                <c:pt idx="33">
                  <c:v>0.8527440917176029</c:v>
                </c:pt>
                <c:pt idx="34">
                  <c:v>0.926066218098901</c:v>
                </c:pt>
                <c:pt idx="3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EC7-4202-A995-0F8218A0ED78}"/>
            </c:ext>
          </c:extLst>
        </c:ser>
        <c:ser>
          <c:idx val="1"/>
          <c:order val="1"/>
          <c:tx>
            <c:strRef>
              <c:f>'Lorenz Ciclabilidade'!$S$2</c:f>
              <c:strCache>
                <c:ptCount val="1"/>
                <c:pt idx="0">
                  <c:v>igualdade perfeita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'Lorenz Ciclabilidade'!$R$9:$R$10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'Lorenz Ciclabilidade'!$S$9:$S$10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EC7-4202-A995-0F8218A0E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1466655"/>
        <c:axId val="931467135"/>
      </c:scatterChart>
      <c:valAx>
        <c:axId val="931466655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1467135"/>
        <c:crosses val="autoZero"/>
        <c:crossBetween val="midCat"/>
        <c:majorUnit val="0.2"/>
      </c:valAx>
      <c:valAx>
        <c:axId val="93146713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1466655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147165099508204"/>
          <c:y val="0.81291312137620075"/>
          <c:w val="0.28368197725284339"/>
          <c:h val="0.113350919296297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</a:t>
            </a:r>
            <a:r>
              <a:rPr lang="pt-BR" baseline="0"/>
              <a:t> de Lorenz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6.4980675786198816E-2"/>
          <c:y val="0.15710292119091487"/>
          <c:w val="0.87477353518182932"/>
          <c:h val="0.5788762353709302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'Lorenz Ciclabilidade'!$K$2</c:f>
              <c:strCache>
                <c:ptCount val="1"/>
                <c:pt idx="0">
                  <c:v>curva de lorenz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'Lorenz Ciclabilidade'!$J$3:$J$38</c:f>
              <c:numCache>
                <c:formatCode>0</c:formatCode>
                <c:ptCount val="36"/>
                <c:pt idx="0" formatCode="General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</c:numCache>
            </c:numRef>
          </c:xVal>
          <c:yVal>
            <c:numRef>
              <c:f>'Lorenz Ciclabilidade'!$K$3:$K$38</c:f>
              <c:numCache>
                <c:formatCode>0.00</c:formatCode>
                <c:ptCount val="36"/>
                <c:pt idx="0" formatCode="General">
                  <c:v>0</c:v>
                </c:pt>
                <c:pt idx="1">
                  <c:v>2.1049952668659951E-2</c:v>
                </c:pt>
                <c:pt idx="2">
                  <c:v>7.1841952668659947E-2</c:v>
                </c:pt>
                <c:pt idx="3">
                  <c:v>0.14447451266865996</c:v>
                </c:pt>
                <c:pt idx="4">
                  <c:v>0.25660218206994662</c:v>
                </c:pt>
                <c:pt idx="5">
                  <c:v>0.37242604773911281</c:v>
                </c:pt>
                <c:pt idx="6">
                  <c:v>0.49106928660172022</c:v>
                </c:pt>
                <c:pt idx="7">
                  <c:v>0.61492641903856704</c:v>
                </c:pt>
                <c:pt idx="8">
                  <c:v>0.75419972322134554</c:v>
                </c:pt>
                <c:pt idx="9">
                  <c:v>0.91742079751158745</c:v>
                </c:pt>
                <c:pt idx="10">
                  <c:v>1.0979134264067216</c:v>
                </c:pt>
                <c:pt idx="11">
                  <c:v>1.3105464721052713</c:v>
                </c:pt>
                <c:pt idx="12">
                  <c:v>1.5260787880138738</c:v>
                </c:pt>
                <c:pt idx="13">
                  <c:v>1.7481883079998386</c:v>
                </c:pt>
                <c:pt idx="14">
                  <c:v>1.9828748397937717</c:v>
                </c:pt>
                <c:pt idx="15">
                  <c:v>2.233221773943133</c:v>
                </c:pt>
                <c:pt idx="16">
                  <c:v>2.4952067637197466</c:v>
                </c:pt>
                <c:pt idx="17">
                  <c:v>2.7740720960377701</c:v>
                </c:pt>
                <c:pt idx="18">
                  <c:v>3.0912582579352108</c:v>
                </c:pt>
                <c:pt idx="19">
                  <c:v>3.4150531188274051</c:v>
                </c:pt>
                <c:pt idx="20">
                  <c:v>3.740723375914758</c:v>
                </c:pt>
                <c:pt idx="21">
                  <c:v>4.091677377120865</c:v>
                </c:pt>
                <c:pt idx="22">
                  <c:v>4.4558560171208654</c:v>
                </c:pt>
                <c:pt idx="23">
                  <c:v>4.8437769617902173</c:v>
                </c:pt>
                <c:pt idx="24">
                  <c:v>5.2406321315391642</c:v>
                </c:pt>
                <c:pt idx="25">
                  <c:v>5.6471485415455387</c:v>
                </c:pt>
                <c:pt idx="26">
                  <c:v>6.0743031881655174</c:v>
                </c:pt>
                <c:pt idx="27">
                  <c:v>6.5068941026356635</c:v>
                </c:pt>
                <c:pt idx="28">
                  <c:v>6.9724536361402452</c:v>
                </c:pt>
                <c:pt idx="29">
                  <c:v>7.4635407441245452</c:v>
                </c:pt>
                <c:pt idx="30">
                  <c:v>7.9642777151993993</c:v>
                </c:pt>
                <c:pt idx="31">
                  <c:v>8.529516504006267</c:v>
                </c:pt>
                <c:pt idx="32">
                  <c:v>9.1118890486116246</c:v>
                </c:pt>
                <c:pt idx="33">
                  <c:v>9.7033946036736847</c:v>
                </c:pt>
                <c:pt idx="34">
                  <c:v>10.537728763673684</c:v>
                </c:pt>
                <c:pt idx="35">
                  <c:v>11.379022965880704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A67-4E28-9B43-4BE1C4224B1C}"/>
            </c:ext>
          </c:extLst>
        </c:ser>
        <c:ser>
          <c:idx val="1"/>
          <c:order val="1"/>
          <c:tx>
            <c:strRef>
              <c:f>'Lorenz Ciclabilidade'!$S$2</c:f>
              <c:strCache>
                <c:ptCount val="1"/>
                <c:pt idx="0">
                  <c:v>igualdade perfeita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'Lorenz Ciclabilidade'!$R$3:$R$4</c:f>
              <c:numCache>
                <c:formatCode>General</c:formatCode>
                <c:ptCount val="2"/>
                <c:pt idx="0">
                  <c:v>0</c:v>
                </c:pt>
                <c:pt idx="1">
                  <c:v>35</c:v>
                </c:pt>
              </c:numCache>
            </c:numRef>
          </c:xVal>
          <c:yVal>
            <c:numRef>
              <c:f>'Lorenz Ciclabilidade'!$S$3:$S$4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11.379022965880704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A67-4E28-9B43-4BE1C4224B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7129760"/>
        <c:axId val="447130240"/>
      </c:scatterChart>
      <c:valAx>
        <c:axId val="447129760"/>
        <c:scaling>
          <c:orientation val="minMax"/>
          <c:max val="3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7130240"/>
        <c:crosses val="autoZero"/>
        <c:crossBetween val="midCat"/>
      </c:valAx>
      <c:valAx>
        <c:axId val="447130240"/>
        <c:scaling>
          <c:orientation val="minMax"/>
          <c:max val="1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7129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6829460472227127"/>
          <c:y val="0.82256708181018479"/>
          <c:w val="0.25887328722692932"/>
          <c:h val="0.110701838935472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969816272965879E-2"/>
          <c:y val="0.12456759026028548"/>
          <c:w val="0.88055796150481191"/>
          <c:h val="0.5895608137144066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'Lorenz Transp.Público'!$O$2</c:f>
              <c:strCache>
                <c:ptCount val="1"/>
                <c:pt idx="0">
                  <c:v>Curva de Lorenz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'Lorenz Transp.Público'!$N$3:$N$38</c:f>
              <c:numCache>
                <c:formatCode>0.0000000</c:formatCode>
                <c:ptCount val="36"/>
                <c:pt idx="0">
                  <c:v>0</c:v>
                </c:pt>
                <c:pt idx="1">
                  <c:v>2.8571428571428571E-2</c:v>
                </c:pt>
                <c:pt idx="2">
                  <c:v>5.7142857142857141E-2</c:v>
                </c:pt>
                <c:pt idx="3">
                  <c:v>8.5714285714285715E-2</c:v>
                </c:pt>
                <c:pt idx="4">
                  <c:v>0.11428571428571428</c:v>
                </c:pt>
                <c:pt idx="5">
                  <c:v>0.14285714285714285</c:v>
                </c:pt>
                <c:pt idx="6">
                  <c:v>0.17142857142857143</c:v>
                </c:pt>
                <c:pt idx="7">
                  <c:v>0.2</c:v>
                </c:pt>
                <c:pt idx="8">
                  <c:v>0.22857142857142856</c:v>
                </c:pt>
                <c:pt idx="9">
                  <c:v>0.25714285714285712</c:v>
                </c:pt>
                <c:pt idx="10">
                  <c:v>0.2857142857142857</c:v>
                </c:pt>
                <c:pt idx="11">
                  <c:v>0.31428571428571428</c:v>
                </c:pt>
                <c:pt idx="12">
                  <c:v>0.34285714285714286</c:v>
                </c:pt>
                <c:pt idx="13">
                  <c:v>0.37142857142857144</c:v>
                </c:pt>
                <c:pt idx="14">
                  <c:v>0.4</c:v>
                </c:pt>
                <c:pt idx="15">
                  <c:v>0.42857142857142855</c:v>
                </c:pt>
                <c:pt idx="16">
                  <c:v>0.45714285714285713</c:v>
                </c:pt>
                <c:pt idx="17">
                  <c:v>0.48571428571428571</c:v>
                </c:pt>
                <c:pt idx="18">
                  <c:v>0.51428571428571423</c:v>
                </c:pt>
                <c:pt idx="19">
                  <c:v>0.54285714285714282</c:v>
                </c:pt>
                <c:pt idx="20">
                  <c:v>0.5714285714285714</c:v>
                </c:pt>
                <c:pt idx="21">
                  <c:v>0.6</c:v>
                </c:pt>
                <c:pt idx="22">
                  <c:v>0.62857142857142856</c:v>
                </c:pt>
                <c:pt idx="23">
                  <c:v>0.65714285714285714</c:v>
                </c:pt>
                <c:pt idx="24">
                  <c:v>0.68571428571428572</c:v>
                </c:pt>
                <c:pt idx="25">
                  <c:v>0.7142857142857143</c:v>
                </c:pt>
                <c:pt idx="26">
                  <c:v>0.74285714285714288</c:v>
                </c:pt>
                <c:pt idx="27">
                  <c:v>0.77142857142857146</c:v>
                </c:pt>
                <c:pt idx="28">
                  <c:v>0.8</c:v>
                </c:pt>
                <c:pt idx="29">
                  <c:v>0.82857142857142863</c:v>
                </c:pt>
                <c:pt idx="30">
                  <c:v>0.8571428571428571</c:v>
                </c:pt>
                <c:pt idx="31">
                  <c:v>0.88571428571428568</c:v>
                </c:pt>
                <c:pt idx="32">
                  <c:v>0.91428571428571426</c:v>
                </c:pt>
                <c:pt idx="33">
                  <c:v>0.94285714285714284</c:v>
                </c:pt>
                <c:pt idx="34">
                  <c:v>0.97142857142857142</c:v>
                </c:pt>
                <c:pt idx="35">
                  <c:v>1</c:v>
                </c:pt>
              </c:numCache>
            </c:numRef>
          </c:xVal>
          <c:yVal>
            <c:numRef>
              <c:f>'Lorenz Transp.Público'!$O$3:$O$38</c:f>
              <c:numCache>
                <c:formatCode>0.0000000</c:formatCode>
                <c:ptCount val="36"/>
                <c:pt idx="0">
                  <c:v>0</c:v>
                </c:pt>
                <c:pt idx="1">
                  <c:v>1.0900776073070604E-2</c:v>
                </c:pt>
                <c:pt idx="2">
                  <c:v>2.1829579467187357E-2</c:v>
                </c:pt>
                <c:pt idx="3">
                  <c:v>3.3776564136986924E-2</c:v>
                </c:pt>
                <c:pt idx="4">
                  <c:v>4.926214786565733E-2</c:v>
                </c:pt>
                <c:pt idx="5">
                  <c:v>6.5320506943606416E-2</c:v>
                </c:pt>
                <c:pt idx="6">
                  <c:v>8.3986891017970508E-2</c:v>
                </c:pt>
                <c:pt idx="7">
                  <c:v>0.10266581227522273</c:v>
                </c:pt>
                <c:pt idx="8">
                  <c:v>0.12138184346129527</c:v>
                </c:pt>
                <c:pt idx="9">
                  <c:v>0.14067422023295331</c:v>
                </c:pt>
                <c:pt idx="10">
                  <c:v>0.16535168925673521</c:v>
                </c:pt>
                <c:pt idx="11">
                  <c:v>0.19051855946157117</c:v>
                </c:pt>
                <c:pt idx="12">
                  <c:v>0.216690202831612</c:v>
                </c:pt>
                <c:pt idx="13">
                  <c:v>0.24413323948181689</c:v>
                </c:pt>
                <c:pt idx="14">
                  <c:v>0.27196168372477364</c:v>
                </c:pt>
                <c:pt idx="15">
                  <c:v>0.30009498798498196</c:v>
                </c:pt>
                <c:pt idx="16">
                  <c:v>0.3288339758666684</c:v>
                </c:pt>
                <c:pt idx="17">
                  <c:v>0.35883638397362616</c:v>
                </c:pt>
                <c:pt idx="18">
                  <c:v>0.38966280591601826</c:v>
                </c:pt>
                <c:pt idx="19">
                  <c:v>0.42075126212087793</c:v>
                </c:pt>
                <c:pt idx="20">
                  <c:v>0.45190548197713309</c:v>
                </c:pt>
                <c:pt idx="21">
                  <c:v>0.48309839050043779</c:v>
                </c:pt>
                <c:pt idx="22">
                  <c:v>0.51436038610259349</c:v>
                </c:pt>
                <c:pt idx="23">
                  <c:v>0.54731056106540998</c:v>
                </c:pt>
                <c:pt idx="24">
                  <c:v>0.58028965741323624</c:v>
                </c:pt>
                <c:pt idx="25">
                  <c:v>0.61351293242903648</c:v>
                </c:pt>
                <c:pt idx="26">
                  <c:v>0.64705624240611581</c:v>
                </c:pt>
                <c:pt idx="27">
                  <c:v>0.6806721903117694</c:v>
                </c:pt>
                <c:pt idx="28">
                  <c:v>0.71431353970188916</c:v>
                </c:pt>
                <c:pt idx="29">
                  <c:v>0.74960611892137274</c:v>
                </c:pt>
                <c:pt idx="30">
                  <c:v>0.78498382332429961</c:v>
                </c:pt>
                <c:pt idx="31">
                  <c:v>0.8236896067133862</c:v>
                </c:pt>
                <c:pt idx="32">
                  <c:v>0.86340230244794658</c:v>
                </c:pt>
                <c:pt idx="33">
                  <c:v>0.90770166049623258</c:v>
                </c:pt>
                <c:pt idx="34">
                  <c:v>0.95356268251547582</c:v>
                </c:pt>
                <c:pt idx="3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972-4DF9-A102-D8C13B9B2C96}"/>
            </c:ext>
          </c:extLst>
        </c:ser>
        <c:ser>
          <c:idx val="1"/>
          <c:order val="1"/>
          <c:tx>
            <c:strRef>
              <c:f>'Lorenz Transp.Público'!$S$2</c:f>
              <c:strCache>
                <c:ptCount val="1"/>
                <c:pt idx="0">
                  <c:v>igualdade perfeita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'Lorenz Transp.Público'!$R$9:$R$10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'Lorenz Transp.Público'!$S$9:$S$10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972-4DF9-A102-D8C13B9B2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1466655"/>
        <c:axId val="931467135"/>
      </c:scatterChart>
      <c:valAx>
        <c:axId val="931466655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1467135"/>
        <c:crosses val="autoZero"/>
        <c:crossBetween val="midCat"/>
        <c:majorUnit val="0.2"/>
      </c:valAx>
      <c:valAx>
        <c:axId val="93146713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1466655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370466070381978"/>
          <c:y val="0.81627164362641069"/>
          <c:w val="0.28368197725284339"/>
          <c:h val="0.113350919296297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</a:t>
            </a:r>
            <a:r>
              <a:rPr lang="pt-BR" baseline="0"/>
              <a:t> de Lorenz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6.4980675786198816E-2"/>
          <c:y val="0.15710292119091487"/>
          <c:w val="0.87477353518182932"/>
          <c:h val="0.5788762353709302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'Lorenz Transp.Público'!$K$2</c:f>
              <c:strCache>
                <c:ptCount val="1"/>
                <c:pt idx="0">
                  <c:v>curva de lorenz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'Lorenz Transp.Público'!$J$3:$J$38</c:f>
              <c:numCache>
                <c:formatCode>0</c:formatCode>
                <c:ptCount val="36"/>
                <c:pt idx="0" formatCode="General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</c:numCache>
            </c:numRef>
          </c:xVal>
          <c:yVal>
            <c:numRef>
              <c:f>'Lorenz Transp.Público'!$K$3:$K$38</c:f>
              <c:numCache>
                <c:formatCode>0.00</c:formatCode>
                <c:ptCount val="36"/>
                <c:pt idx="0" formatCode="General">
                  <c:v>0</c:v>
                </c:pt>
                <c:pt idx="1">
                  <c:v>0.11852621501729108</c:v>
                </c:pt>
                <c:pt idx="2">
                  <c:v>0.23735717643597654</c:v>
                </c:pt>
                <c:pt idx="3">
                  <c:v>0.36725901684522244</c:v>
                </c:pt>
                <c:pt idx="4">
                  <c:v>0.53563671898213383</c:v>
                </c:pt>
                <c:pt idx="5">
                  <c:v>0.71024231661475412</c:v>
                </c:pt>
                <c:pt idx="6">
                  <c:v>0.91320546690449289</c:v>
                </c:pt>
                <c:pt idx="7">
                  <c:v>1.116304936372311</c:v>
                </c:pt>
                <c:pt idx="8">
                  <c:v>1.3198079091662362</c:v>
                </c:pt>
                <c:pt idx="9">
                  <c:v>1.5295775973154226</c:v>
                </c:pt>
                <c:pt idx="10">
                  <c:v>1.7979004194694421</c:v>
                </c:pt>
                <c:pt idx="11">
                  <c:v>2.0715445939039316</c:v>
                </c:pt>
                <c:pt idx="12">
                  <c:v>2.3561138583892922</c:v>
                </c:pt>
                <c:pt idx="13">
                  <c:v>2.6545072242309353</c:v>
                </c:pt>
                <c:pt idx="14">
                  <c:v>2.9570912002549719</c:v>
                </c:pt>
                <c:pt idx="15">
                  <c:v>3.2629899773273667</c:v>
                </c:pt>
                <c:pt idx="16">
                  <c:v>3.5754744678086556</c:v>
                </c:pt>
                <c:pt idx="17">
                  <c:v>3.9016963671013811</c:v>
                </c:pt>
                <c:pt idx="18">
                  <c:v>4.2368779258147962</c:v>
                </c:pt>
                <c:pt idx="19">
                  <c:v>4.5749086329858022</c:v>
                </c:pt>
                <c:pt idx="20">
                  <c:v>4.9136544008674736</c:v>
                </c:pt>
                <c:pt idx="21">
                  <c:v>5.2528208379967944</c:v>
                </c:pt>
                <c:pt idx="22">
                  <c:v>5.5927384720966726</c:v>
                </c:pt>
                <c:pt idx="23">
                  <c:v>5.9510120020105868</c:v>
                </c:pt>
                <c:pt idx="24">
                  <c:v>6.3095999996537069</c:v>
                </c:pt>
                <c:pt idx="25">
                  <c:v>6.6708429984737068</c:v>
                </c:pt>
                <c:pt idx="26">
                  <c:v>7.0355657983995501</c:v>
                </c:pt>
                <c:pt idx="27">
                  <c:v>7.4010784043614857</c:v>
                </c:pt>
                <c:pt idx="28">
                  <c:v>7.7668672055034174</c:v>
                </c:pt>
                <c:pt idx="29">
                  <c:v>8.1506101431661087</c:v>
                </c:pt>
                <c:pt idx="30">
                  <c:v>8.5352786631661086</c:v>
                </c:pt>
                <c:pt idx="31">
                  <c:v>8.9561340200356945</c:v>
                </c:pt>
                <c:pt idx="32">
                  <c:v>9.3879377266707635</c:v>
                </c:pt>
                <c:pt idx="33">
                  <c:v>9.8696130864765976</c:v>
                </c:pt>
                <c:pt idx="34">
                  <c:v>10.368268716160987</c:v>
                </c:pt>
                <c:pt idx="35">
                  <c:v>10.873190516233016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759-4663-AA9D-BFA2010F4866}"/>
            </c:ext>
          </c:extLst>
        </c:ser>
        <c:ser>
          <c:idx val="1"/>
          <c:order val="1"/>
          <c:tx>
            <c:strRef>
              <c:f>'Lorenz Transp.Público'!$S$2</c:f>
              <c:strCache>
                <c:ptCount val="1"/>
                <c:pt idx="0">
                  <c:v>igualdade perfeita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'Lorenz Transp.Público'!$R$3:$R$4</c:f>
              <c:numCache>
                <c:formatCode>General</c:formatCode>
                <c:ptCount val="2"/>
                <c:pt idx="0">
                  <c:v>0</c:v>
                </c:pt>
                <c:pt idx="1">
                  <c:v>35</c:v>
                </c:pt>
              </c:numCache>
            </c:numRef>
          </c:xVal>
          <c:yVal>
            <c:numRef>
              <c:f>'Lorenz Transp.Público'!$S$3:$S$4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10.873190516233016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759-4663-AA9D-BFA2010F4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7129760"/>
        <c:axId val="447130240"/>
      </c:scatterChart>
      <c:valAx>
        <c:axId val="447129760"/>
        <c:scaling>
          <c:orientation val="minMax"/>
          <c:max val="3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7130240"/>
        <c:crosses val="autoZero"/>
        <c:crossBetween val="midCat"/>
      </c:valAx>
      <c:valAx>
        <c:axId val="447130240"/>
        <c:scaling>
          <c:orientation val="minMax"/>
          <c:max val="1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7129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6829460472227127"/>
          <c:y val="0.82256708181018479"/>
          <c:w val="0.25887328722692932"/>
          <c:h val="0.110701838935472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969816272965879E-2"/>
          <c:y val="0.12456759026028548"/>
          <c:w val="0.88055796150481191"/>
          <c:h val="0.5895608137144066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'Lorenz Prox.Territorial'!$O$2</c:f>
              <c:strCache>
                <c:ptCount val="1"/>
                <c:pt idx="0">
                  <c:v>Curva de Lorenz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'Lorenz Prox.Territorial'!$N$3:$N$38</c:f>
              <c:numCache>
                <c:formatCode>0.0000000</c:formatCode>
                <c:ptCount val="36"/>
                <c:pt idx="0">
                  <c:v>0</c:v>
                </c:pt>
                <c:pt idx="1">
                  <c:v>2.8571428571428571E-2</c:v>
                </c:pt>
                <c:pt idx="2">
                  <c:v>5.7142857142857141E-2</c:v>
                </c:pt>
                <c:pt idx="3">
                  <c:v>8.5714285714285715E-2</c:v>
                </c:pt>
                <c:pt idx="4">
                  <c:v>0.11428571428571428</c:v>
                </c:pt>
                <c:pt idx="5">
                  <c:v>0.14285714285714285</c:v>
                </c:pt>
                <c:pt idx="6">
                  <c:v>0.17142857142857143</c:v>
                </c:pt>
                <c:pt idx="7">
                  <c:v>0.2</c:v>
                </c:pt>
                <c:pt idx="8">
                  <c:v>0.22857142857142856</c:v>
                </c:pt>
                <c:pt idx="9">
                  <c:v>0.25714285714285712</c:v>
                </c:pt>
                <c:pt idx="10">
                  <c:v>0.2857142857142857</c:v>
                </c:pt>
                <c:pt idx="11">
                  <c:v>0.31428571428571428</c:v>
                </c:pt>
                <c:pt idx="12">
                  <c:v>0.34285714285714286</c:v>
                </c:pt>
                <c:pt idx="13">
                  <c:v>0.37142857142857144</c:v>
                </c:pt>
                <c:pt idx="14">
                  <c:v>0.4</c:v>
                </c:pt>
                <c:pt idx="15">
                  <c:v>0.42857142857142855</c:v>
                </c:pt>
                <c:pt idx="16">
                  <c:v>0.45714285714285713</c:v>
                </c:pt>
                <c:pt idx="17">
                  <c:v>0.48571428571428571</c:v>
                </c:pt>
                <c:pt idx="18">
                  <c:v>0.51428571428571423</c:v>
                </c:pt>
                <c:pt idx="19">
                  <c:v>0.54285714285714282</c:v>
                </c:pt>
                <c:pt idx="20">
                  <c:v>0.5714285714285714</c:v>
                </c:pt>
                <c:pt idx="21">
                  <c:v>0.6</c:v>
                </c:pt>
                <c:pt idx="22">
                  <c:v>0.62857142857142856</c:v>
                </c:pt>
                <c:pt idx="23">
                  <c:v>0.65714285714285714</c:v>
                </c:pt>
                <c:pt idx="24">
                  <c:v>0.68571428571428572</c:v>
                </c:pt>
                <c:pt idx="25">
                  <c:v>0.7142857142857143</c:v>
                </c:pt>
                <c:pt idx="26">
                  <c:v>0.74285714285714288</c:v>
                </c:pt>
                <c:pt idx="27">
                  <c:v>0.77142857142857146</c:v>
                </c:pt>
                <c:pt idx="28">
                  <c:v>0.8</c:v>
                </c:pt>
                <c:pt idx="29">
                  <c:v>0.82857142857142863</c:v>
                </c:pt>
                <c:pt idx="30">
                  <c:v>0.8571428571428571</c:v>
                </c:pt>
                <c:pt idx="31">
                  <c:v>0.88571428571428568</c:v>
                </c:pt>
                <c:pt idx="32">
                  <c:v>0.91428571428571426</c:v>
                </c:pt>
                <c:pt idx="33">
                  <c:v>0.94285714285714284</c:v>
                </c:pt>
                <c:pt idx="34">
                  <c:v>0.97142857142857142</c:v>
                </c:pt>
                <c:pt idx="35">
                  <c:v>1</c:v>
                </c:pt>
              </c:numCache>
            </c:numRef>
          </c:xVal>
          <c:yVal>
            <c:numRef>
              <c:f>'Lorenz Prox.Territorial'!$O$3:$O$38</c:f>
              <c:numCache>
                <c:formatCode>0.0000000</c:formatCode>
                <c:ptCount val="36"/>
                <c:pt idx="0">
                  <c:v>0</c:v>
                </c:pt>
                <c:pt idx="1">
                  <c:v>1.5039995872784135E-2</c:v>
                </c:pt>
                <c:pt idx="2">
                  <c:v>3.1312596680617449E-2</c:v>
                </c:pt>
                <c:pt idx="3">
                  <c:v>4.9565499896699644E-2</c:v>
                </c:pt>
                <c:pt idx="4">
                  <c:v>6.8134547452813651E-2</c:v>
                </c:pt>
                <c:pt idx="5">
                  <c:v>8.999476569760187E-2</c:v>
                </c:pt>
                <c:pt idx="6">
                  <c:v>0.11254940857894516</c:v>
                </c:pt>
                <c:pt idx="7">
                  <c:v>0.13530144124256963</c:v>
                </c:pt>
                <c:pt idx="8">
                  <c:v>0.15849386490815509</c:v>
                </c:pt>
                <c:pt idx="9">
                  <c:v>0.18202263375672806</c:v>
                </c:pt>
                <c:pt idx="10">
                  <c:v>0.20722260456972377</c:v>
                </c:pt>
                <c:pt idx="11">
                  <c:v>0.23306899891397623</c:v>
                </c:pt>
                <c:pt idx="12">
                  <c:v>0.25948733536328766</c:v>
                </c:pt>
                <c:pt idx="13">
                  <c:v>0.28594217106293951</c:v>
                </c:pt>
                <c:pt idx="14">
                  <c:v>0.31240941880325745</c:v>
                </c:pt>
                <c:pt idx="15">
                  <c:v>0.33913543015963649</c:v>
                </c:pt>
                <c:pt idx="16">
                  <c:v>0.36601642559694209</c:v>
                </c:pt>
                <c:pt idx="17">
                  <c:v>0.39327207665679059</c:v>
                </c:pt>
                <c:pt idx="18">
                  <c:v>0.42062028430618159</c:v>
                </c:pt>
                <c:pt idx="19">
                  <c:v>0.45004326314679366</c:v>
                </c:pt>
                <c:pt idx="20">
                  <c:v>0.47963934140380798</c:v>
                </c:pt>
                <c:pt idx="21">
                  <c:v>0.50954310719341667</c:v>
                </c:pt>
                <c:pt idx="22">
                  <c:v>0.53950002071217662</c:v>
                </c:pt>
                <c:pt idx="23">
                  <c:v>0.56960410540629514</c:v>
                </c:pt>
                <c:pt idx="24">
                  <c:v>0.59979887352088201</c:v>
                </c:pt>
                <c:pt idx="25">
                  <c:v>0.63002958421485289</c:v>
                </c:pt>
                <c:pt idx="26">
                  <c:v>0.66094002802322915</c:v>
                </c:pt>
                <c:pt idx="27">
                  <c:v>0.69248969881255917</c:v>
                </c:pt>
                <c:pt idx="28">
                  <c:v>0.7241279112738942</c:v>
                </c:pt>
                <c:pt idx="29">
                  <c:v>0.75889279413905963</c:v>
                </c:pt>
                <c:pt idx="30">
                  <c:v>0.79470687435408871</c:v>
                </c:pt>
                <c:pt idx="31">
                  <c:v>0.83159153497036042</c:v>
                </c:pt>
                <c:pt idx="32">
                  <c:v>0.86947237146261303</c:v>
                </c:pt>
                <c:pt idx="33">
                  <c:v>0.90862971758563871</c:v>
                </c:pt>
                <c:pt idx="34">
                  <c:v>0.94937957994644917</c:v>
                </c:pt>
                <c:pt idx="3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D6F-4B20-87A0-198C5D0FF9A8}"/>
            </c:ext>
          </c:extLst>
        </c:ser>
        <c:ser>
          <c:idx val="1"/>
          <c:order val="1"/>
          <c:tx>
            <c:strRef>
              <c:f>'Lorenz Prox.Territorial'!$S$2</c:f>
              <c:strCache>
                <c:ptCount val="1"/>
                <c:pt idx="0">
                  <c:v>igualdade perfeita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'Lorenz Prox.Territorial'!$R$9:$R$10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'Lorenz Prox.Territorial'!$S$9:$S$10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D6F-4B20-87A0-198C5D0FF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1466655"/>
        <c:axId val="931467135"/>
      </c:scatterChart>
      <c:valAx>
        <c:axId val="931466655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1467135"/>
        <c:crosses val="autoZero"/>
        <c:crossBetween val="midCat"/>
        <c:majorUnit val="0.2"/>
      </c:valAx>
      <c:valAx>
        <c:axId val="93146713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1466655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370466070381978"/>
          <c:y val="0.81627164362641069"/>
          <c:w val="0.28368197725284339"/>
          <c:h val="0.113350919296297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</a:t>
            </a:r>
            <a:r>
              <a:rPr lang="pt-BR" baseline="0"/>
              <a:t> de Lorenz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6.4980675786198816E-2"/>
          <c:y val="0.15710292119091487"/>
          <c:w val="0.87477353518182932"/>
          <c:h val="0.5788762353709302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'Lorenz Prox.Territorial'!$K$2</c:f>
              <c:strCache>
                <c:ptCount val="1"/>
                <c:pt idx="0">
                  <c:v>curva de lorenz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'Lorenz Prox.Territorial'!$J$3:$J$38</c:f>
              <c:numCache>
                <c:formatCode>0</c:formatCode>
                <c:ptCount val="36"/>
                <c:pt idx="0" formatCode="General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</c:numCache>
            </c:numRef>
          </c:xVal>
          <c:yVal>
            <c:numRef>
              <c:f>'Lorenz Prox.Territorial'!$K$3:$K$38</c:f>
              <c:numCache>
                <c:formatCode>0.00</c:formatCode>
                <c:ptCount val="36"/>
                <c:pt idx="0" formatCode="General">
                  <c:v>0</c:v>
                </c:pt>
                <c:pt idx="1">
                  <c:v>0.26207216</c:v>
                </c:pt>
                <c:pt idx="2">
                  <c:v>0.54562248000000002</c:v>
                </c:pt>
                <c:pt idx="3">
                  <c:v>0.86367959999999999</c:v>
                </c:pt>
                <c:pt idx="4">
                  <c:v>1.1872455399999999</c:v>
                </c:pt>
                <c:pt idx="5">
                  <c:v>1.56816018</c:v>
                </c:pt>
                <c:pt idx="6">
                  <c:v>1.9611751800000001</c:v>
                </c:pt>
                <c:pt idx="7">
                  <c:v>2.3576297000000004</c:v>
                </c:pt>
                <c:pt idx="8">
                  <c:v>2.7617580400000001</c:v>
                </c:pt>
                <c:pt idx="9">
                  <c:v>3.1717472</c:v>
                </c:pt>
                <c:pt idx="10">
                  <c:v>3.6108570800000002</c:v>
                </c:pt>
                <c:pt idx="11">
                  <c:v>4.0612309</c:v>
                </c:pt>
                <c:pt idx="12">
                  <c:v>4.52157082</c:v>
                </c:pt>
                <c:pt idx="13">
                  <c:v>4.9825467400000001</c:v>
                </c:pt>
                <c:pt idx="14">
                  <c:v>5.4437389400000002</c:v>
                </c:pt>
                <c:pt idx="15">
                  <c:v>5.9094401000000003</c:v>
                </c:pt>
                <c:pt idx="16">
                  <c:v>6.3778418600000002</c:v>
                </c:pt>
                <c:pt idx="17">
                  <c:v>6.8527719999999999</c:v>
                </c:pt>
                <c:pt idx="18">
                  <c:v>7.3293149399999997</c:v>
                </c:pt>
                <c:pt idx="19">
                  <c:v>7.8420107999999997</c:v>
                </c:pt>
                <c:pt idx="20">
                  <c:v>8.3577229200000005</c:v>
                </c:pt>
                <c:pt idx="21">
                  <c:v>8.8787965</c:v>
                </c:pt>
                <c:pt idx="22">
                  <c:v>9.4007961800000004</c:v>
                </c:pt>
                <c:pt idx="23">
                  <c:v>9.9253603200000011</c:v>
                </c:pt>
                <c:pt idx="24">
                  <c:v>10.451504620000001</c:v>
                </c:pt>
                <c:pt idx="25">
                  <c:v>10.978275220000002</c:v>
                </c:pt>
                <c:pt idx="26">
                  <c:v>11.516890180000003</c:v>
                </c:pt>
                <c:pt idx="27">
                  <c:v>12.066643680000002</c:v>
                </c:pt>
                <c:pt idx="28">
                  <c:v>12.617940020000002</c:v>
                </c:pt>
                <c:pt idx="29">
                  <c:v>13.223718640000003</c:v>
                </c:pt>
                <c:pt idx="30">
                  <c:v>13.847779540000003</c:v>
                </c:pt>
                <c:pt idx="31">
                  <c:v>14.490495320000003</c:v>
                </c:pt>
                <c:pt idx="32">
                  <c:v>15.150569480000003</c:v>
                </c:pt>
                <c:pt idx="33">
                  <c:v>15.832886840000004</c:v>
                </c:pt>
                <c:pt idx="34">
                  <c:v>16.542953820000005</c:v>
                </c:pt>
                <c:pt idx="35">
                  <c:v>17.425015420000005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45-47E7-B722-79964A354ED2}"/>
            </c:ext>
          </c:extLst>
        </c:ser>
        <c:ser>
          <c:idx val="1"/>
          <c:order val="1"/>
          <c:tx>
            <c:strRef>
              <c:f>'Lorenz Prox.Territorial'!$S$2</c:f>
              <c:strCache>
                <c:ptCount val="1"/>
                <c:pt idx="0">
                  <c:v>igualdade perfeita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'Lorenz Prox.Territorial'!$R$3:$R$4</c:f>
              <c:numCache>
                <c:formatCode>General</c:formatCode>
                <c:ptCount val="2"/>
                <c:pt idx="0">
                  <c:v>0</c:v>
                </c:pt>
                <c:pt idx="1">
                  <c:v>35</c:v>
                </c:pt>
              </c:numCache>
            </c:numRef>
          </c:xVal>
          <c:yVal>
            <c:numRef>
              <c:f>'Lorenz Prox.Territorial'!$S$3:$S$4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17.425015420000005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945-47E7-B722-79964A354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7129760"/>
        <c:axId val="447130240"/>
      </c:scatterChart>
      <c:valAx>
        <c:axId val="447129760"/>
        <c:scaling>
          <c:orientation val="minMax"/>
          <c:max val="3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7130240"/>
        <c:crosses val="autoZero"/>
        <c:crossBetween val="midCat"/>
      </c:valAx>
      <c:valAx>
        <c:axId val="447130240"/>
        <c:scaling>
          <c:orientation val="minMax"/>
          <c:max val="18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7129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6829460472227127"/>
          <c:y val="0.82256708181018479"/>
          <c:w val="0.25887328722692932"/>
          <c:h val="0.110701838935472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2969816272965879E-2"/>
          <c:y val="0.12456759026028548"/>
          <c:w val="0.88055796150481191"/>
          <c:h val="0.5895608137144066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'Lorenz Aspectos Ambientais'!$O$2</c:f>
              <c:strCache>
                <c:ptCount val="1"/>
                <c:pt idx="0">
                  <c:v>Curva de Lorenz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'Lorenz Aspectos Ambientais'!$N$3:$N$38</c:f>
              <c:numCache>
                <c:formatCode>0.0000000</c:formatCode>
                <c:ptCount val="36"/>
                <c:pt idx="0">
                  <c:v>0</c:v>
                </c:pt>
                <c:pt idx="1">
                  <c:v>2.8571428571428571E-2</c:v>
                </c:pt>
                <c:pt idx="2">
                  <c:v>5.7142857142857141E-2</c:v>
                </c:pt>
                <c:pt idx="3">
                  <c:v>8.5714285714285715E-2</c:v>
                </c:pt>
                <c:pt idx="4">
                  <c:v>0.11428571428571428</c:v>
                </c:pt>
                <c:pt idx="5">
                  <c:v>0.14285714285714285</c:v>
                </c:pt>
                <c:pt idx="6">
                  <c:v>0.17142857142857143</c:v>
                </c:pt>
                <c:pt idx="7">
                  <c:v>0.2</c:v>
                </c:pt>
                <c:pt idx="8">
                  <c:v>0.22857142857142856</c:v>
                </c:pt>
                <c:pt idx="9">
                  <c:v>0.25714285714285712</c:v>
                </c:pt>
                <c:pt idx="10">
                  <c:v>0.2857142857142857</c:v>
                </c:pt>
                <c:pt idx="11">
                  <c:v>0.31428571428571428</c:v>
                </c:pt>
                <c:pt idx="12">
                  <c:v>0.34285714285714286</c:v>
                </c:pt>
                <c:pt idx="13">
                  <c:v>0.37142857142857144</c:v>
                </c:pt>
                <c:pt idx="14">
                  <c:v>0.4</c:v>
                </c:pt>
                <c:pt idx="15">
                  <c:v>0.42857142857142855</c:v>
                </c:pt>
                <c:pt idx="16">
                  <c:v>0.45714285714285713</c:v>
                </c:pt>
                <c:pt idx="17">
                  <c:v>0.48571428571428571</c:v>
                </c:pt>
                <c:pt idx="18">
                  <c:v>0.51428571428571423</c:v>
                </c:pt>
                <c:pt idx="19">
                  <c:v>0.54285714285714282</c:v>
                </c:pt>
                <c:pt idx="20">
                  <c:v>0.5714285714285714</c:v>
                </c:pt>
                <c:pt idx="21">
                  <c:v>0.6</c:v>
                </c:pt>
                <c:pt idx="22">
                  <c:v>0.62857142857142856</c:v>
                </c:pt>
                <c:pt idx="23">
                  <c:v>0.65714285714285714</c:v>
                </c:pt>
                <c:pt idx="24">
                  <c:v>0.68571428571428572</c:v>
                </c:pt>
                <c:pt idx="25">
                  <c:v>0.7142857142857143</c:v>
                </c:pt>
                <c:pt idx="26">
                  <c:v>0.74285714285714288</c:v>
                </c:pt>
                <c:pt idx="27">
                  <c:v>0.77142857142857146</c:v>
                </c:pt>
                <c:pt idx="28">
                  <c:v>0.8</c:v>
                </c:pt>
                <c:pt idx="29">
                  <c:v>0.82857142857142863</c:v>
                </c:pt>
                <c:pt idx="30">
                  <c:v>0.8571428571428571</c:v>
                </c:pt>
                <c:pt idx="31">
                  <c:v>0.88571428571428568</c:v>
                </c:pt>
                <c:pt idx="32">
                  <c:v>0.91428571428571426</c:v>
                </c:pt>
                <c:pt idx="33">
                  <c:v>0.94285714285714284</c:v>
                </c:pt>
                <c:pt idx="34">
                  <c:v>0.97142857142857142</c:v>
                </c:pt>
                <c:pt idx="35">
                  <c:v>1</c:v>
                </c:pt>
              </c:numCache>
            </c:numRef>
          </c:xVal>
          <c:yVal>
            <c:numRef>
              <c:f>'Lorenz Aspectos Ambientais'!$O$3:$O$38</c:f>
              <c:numCache>
                <c:formatCode>0.0000000</c:formatCode>
                <c:ptCount val="36"/>
                <c:pt idx="0">
                  <c:v>0</c:v>
                </c:pt>
                <c:pt idx="1">
                  <c:v>1.5998446716098961E-2</c:v>
                </c:pt>
                <c:pt idx="2">
                  <c:v>3.5087192031243074E-2</c:v>
                </c:pt>
                <c:pt idx="3">
                  <c:v>5.4626064669801869E-2</c:v>
                </c:pt>
                <c:pt idx="4">
                  <c:v>7.602662985239958E-2</c:v>
                </c:pt>
                <c:pt idx="5">
                  <c:v>9.743537809141091E-2</c:v>
                </c:pt>
                <c:pt idx="6">
                  <c:v>0.11914441302750811</c:v>
                </c:pt>
                <c:pt idx="7">
                  <c:v>0.14327221780964822</c:v>
                </c:pt>
                <c:pt idx="8">
                  <c:v>0.16814285527438144</c:v>
                </c:pt>
                <c:pt idx="9">
                  <c:v>0.19383116891459848</c:v>
                </c:pt>
                <c:pt idx="10">
                  <c:v>0.22021331131880859</c:v>
                </c:pt>
                <c:pt idx="11">
                  <c:v>0.24664617293613619</c:v>
                </c:pt>
                <c:pt idx="12">
                  <c:v>0.27309050656908984</c:v>
                </c:pt>
                <c:pt idx="13">
                  <c:v>0.29969859575019747</c:v>
                </c:pt>
                <c:pt idx="14">
                  <c:v>0.32704987955677811</c:v>
                </c:pt>
                <c:pt idx="15">
                  <c:v>0.35454521662953237</c:v>
                </c:pt>
                <c:pt idx="16">
                  <c:v>0.38237210911686059</c:v>
                </c:pt>
                <c:pt idx="17">
                  <c:v>0.41139662338361571</c:v>
                </c:pt>
                <c:pt idx="18">
                  <c:v>0.44099643798954208</c:v>
                </c:pt>
                <c:pt idx="19">
                  <c:v>0.47095234144263642</c:v>
                </c:pt>
                <c:pt idx="20">
                  <c:v>0.50127309905524953</c:v>
                </c:pt>
                <c:pt idx="21">
                  <c:v>0.53251880956559949</c:v>
                </c:pt>
                <c:pt idx="22">
                  <c:v>0.56377808506561977</c:v>
                </c:pt>
                <c:pt idx="23">
                  <c:v>0.59505072097889999</c:v>
                </c:pt>
                <c:pt idx="24">
                  <c:v>0.62656708608013045</c:v>
                </c:pt>
                <c:pt idx="25">
                  <c:v>0.65809248401670972</c:v>
                </c:pt>
                <c:pt idx="26">
                  <c:v>0.69026365099749909</c:v>
                </c:pt>
                <c:pt idx="27">
                  <c:v>0.7229085539980491</c:v>
                </c:pt>
                <c:pt idx="28">
                  <c:v>0.75583627601757131</c:v>
                </c:pt>
                <c:pt idx="29">
                  <c:v>0.78876870329453141</c:v>
                </c:pt>
                <c:pt idx="30">
                  <c:v>0.8219042749469595</c:v>
                </c:pt>
                <c:pt idx="31">
                  <c:v>0.85651556640370186</c:v>
                </c:pt>
                <c:pt idx="32">
                  <c:v>0.89148485084189311</c:v>
                </c:pt>
                <c:pt idx="33">
                  <c:v>0.92703519523203903</c:v>
                </c:pt>
                <c:pt idx="34">
                  <c:v>0.96333702746060024</c:v>
                </c:pt>
                <c:pt idx="3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CD3-4EEC-AC19-27DA04CC0C86}"/>
            </c:ext>
          </c:extLst>
        </c:ser>
        <c:ser>
          <c:idx val="1"/>
          <c:order val="1"/>
          <c:tx>
            <c:strRef>
              <c:f>'Lorenz Aspectos Ambientais'!$S$2</c:f>
              <c:strCache>
                <c:ptCount val="1"/>
                <c:pt idx="0">
                  <c:v>igualdade perfeita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'Lorenz Aspectos Ambientais'!$R$9:$R$10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xVal>
          <c:yVal>
            <c:numRef>
              <c:f>'Lorenz Aspectos Ambientais'!$S$9:$S$10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CD3-4EEC-AC19-27DA04CC0C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1466655"/>
        <c:axId val="931467135"/>
      </c:scatterChart>
      <c:valAx>
        <c:axId val="931466655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1467135"/>
        <c:crosses val="autoZero"/>
        <c:crossBetween val="midCat"/>
        <c:majorUnit val="0.2"/>
      </c:valAx>
      <c:valAx>
        <c:axId val="93146713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1466655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370466070381978"/>
          <c:y val="0.81627164362641069"/>
          <c:w val="0.28368197725284339"/>
          <c:h val="0.113350919296297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</a:t>
            </a:r>
            <a:r>
              <a:rPr lang="pt-BR" baseline="0"/>
              <a:t> de Lorenz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6.4980675786198816E-2"/>
          <c:y val="0.15710292119091487"/>
          <c:w val="0.87477353518182932"/>
          <c:h val="0.5788762353709302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'Lorenz Aspectos Ambientais'!$K$2</c:f>
              <c:strCache>
                <c:ptCount val="1"/>
                <c:pt idx="0">
                  <c:v>curva de lorenz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'Lorenz Aspectos Ambientais'!$J$3:$J$38</c:f>
              <c:numCache>
                <c:formatCode>0</c:formatCode>
                <c:ptCount val="36"/>
                <c:pt idx="0" formatCode="General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</c:numCache>
            </c:numRef>
          </c:xVal>
          <c:yVal>
            <c:numRef>
              <c:f>'Lorenz Aspectos Ambientais'!$K$3:$K$38</c:f>
              <c:numCache>
                <c:formatCode>0.00</c:formatCode>
                <c:ptCount val="36"/>
                <c:pt idx="0" formatCode="General">
                  <c:v>0</c:v>
                </c:pt>
                <c:pt idx="1">
                  <c:v>0.40665452475811037</c:v>
                </c:pt>
                <c:pt idx="2">
                  <c:v>0.89185941946499714</c:v>
                </c:pt>
                <c:pt idx="3">
                  <c:v>1.3885058194649971</c:v>
                </c:pt>
                <c:pt idx="4">
                  <c:v>1.9324734194649971</c:v>
                </c:pt>
                <c:pt idx="5">
                  <c:v>2.4766490194649973</c:v>
                </c:pt>
                <c:pt idx="6">
                  <c:v>3.0284574194649974</c:v>
                </c:pt>
                <c:pt idx="7">
                  <c:v>3.6417470194649972</c:v>
                </c:pt>
                <c:pt idx="8">
                  <c:v>4.2739182194649974</c:v>
                </c:pt>
                <c:pt idx="9">
                  <c:v>4.9268734194649975</c:v>
                </c:pt>
                <c:pt idx="10">
                  <c:v>5.5974646194649971</c:v>
                </c:pt>
                <c:pt idx="11">
                  <c:v>6.2693450194649971</c:v>
                </c:pt>
                <c:pt idx="12">
                  <c:v>6.9415170194649969</c:v>
                </c:pt>
                <c:pt idx="13">
                  <c:v>7.6178514194649969</c:v>
                </c:pt>
                <c:pt idx="14">
                  <c:v>8.3130766194649972</c:v>
                </c:pt>
                <c:pt idx="15">
                  <c:v>9.0119634194649976</c:v>
                </c:pt>
                <c:pt idx="16">
                  <c:v>9.7192778194649971</c:v>
                </c:pt>
                <c:pt idx="17">
                  <c:v>10.457033819464996</c:v>
                </c:pt>
                <c:pt idx="18">
                  <c:v>11.209413019464996</c:v>
                </c:pt>
                <c:pt idx="19">
                  <c:v>11.970843419464996</c:v>
                </c:pt>
                <c:pt idx="20">
                  <c:v>12.741547819464996</c:v>
                </c:pt>
                <c:pt idx="21">
                  <c:v>13.535763019464996</c:v>
                </c:pt>
                <c:pt idx="22">
                  <c:v>14.330323019464997</c:v>
                </c:pt>
                <c:pt idx="23">
                  <c:v>15.125222619464997</c:v>
                </c:pt>
                <c:pt idx="24">
                  <c:v>15.926317419464997</c:v>
                </c:pt>
                <c:pt idx="25">
                  <c:v>16.727641819464996</c:v>
                </c:pt>
                <c:pt idx="26">
                  <c:v>17.545380619464996</c:v>
                </c:pt>
                <c:pt idx="27">
                  <c:v>18.375161019464997</c:v>
                </c:pt>
                <c:pt idx="28">
                  <c:v>19.212130219464996</c:v>
                </c:pt>
                <c:pt idx="29">
                  <c:v>20.049219019464996</c:v>
                </c:pt>
                <c:pt idx="30">
                  <c:v>20.891471419464995</c:v>
                </c:pt>
                <c:pt idx="31">
                  <c:v>21.771234219464993</c:v>
                </c:pt>
                <c:pt idx="32">
                  <c:v>22.660096619464994</c:v>
                </c:pt>
                <c:pt idx="33">
                  <c:v>23.563728619464996</c:v>
                </c:pt>
                <c:pt idx="34">
                  <c:v>24.486462219464997</c:v>
                </c:pt>
                <c:pt idx="35">
                  <c:v>25.418375419464997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DE0-4C21-AA69-520F0EC84AC5}"/>
            </c:ext>
          </c:extLst>
        </c:ser>
        <c:ser>
          <c:idx val="1"/>
          <c:order val="1"/>
          <c:tx>
            <c:strRef>
              <c:f>'Lorenz Aspectos Ambientais'!$S$2</c:f>
              <c:strCache>
                <c:ptCount val="1"/>
                <c:pt idx="0">
                  <c:v>igualdade perfeita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'Lorenz Aspectos Ambientais'!$R$3:$R$4</c:f>
              <c:numCache>
                <c:formatCode>General</c:formatCode>
                <c:ptCount val="2"/>
                <c:pt idx="0">
                  <c:v>0</c:v>
                </c:pt>
                <c:pt idx="1">
                  <c:v>35</c:v>
                </c:pt>
              </c:numCache>
            </c:numRef>
          </c:xVal>
          <c:yVal>
            <c:numRef>
              <c:f>'Lorenz Aspectos Ambientais'!$S$3:$S$4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25.418375419464997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DE0-4C21-AA69-520F0EC84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7129760"/>
        <c:axId val="447130240"/>
      </c:scatterChart>
      <c:valAx>
        <c:axId val="447129760"/>
        <c:scaling>
          <c:orientation val="minMax"/>
          <c:max val="3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7130240"/>
        <c:crosses val="autoZero"/>
        <c:crossBetween val="midCat"/>
      </c:valAx>
      <c:valAx>
        <c:axId val="447130240"/>
        <c:scaling>
          <c:orientation val="minMax"/>
          <c:max val="2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7129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6829460472227127"/>
          <c:y val="0.82256708181018479"/>
          <c:w val="0.25887328722692932"/>
          <c:h val="0.110701838935472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668727460072129E-2"/>
          <c:y val="6.6515479251884169E-2"/>
          <c:w val="0.95466254507985571"/>
          <c:h val="0.661827554653513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'Comparativo Gini'!$B$4</c:f>
              <c:strCache>
                <c:ptCount val="1"/>
                <c:pt idx="0">
                  <c:v>IMAP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'Comparativo Gini'!$C$3</c:f>
              <c:strCache>
                <c:ptCount val="1"/>
                <c:pt idx="0">
                  <c:v>Índice de Gini</c:v>
                </c:pt>
              </c:strCache>
            </c:strRef>
          </c:cat>
          <c:val>
            <c:numRef>
              <c:f>'Comparativo Gini'!$C$4</c:f>
              <c:numCache>
                <c:formatCode>General</c:formatCode>
                <c:ptCount val="1"/>
                <c:pt idx="0">
                  <c:v>9.69E-2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53-498F-B5D8-BC1E2E2B8715}"/>
            </c:ext>
          </c:extLst>
        </c:ser>
        <c:ser>
          <c:idx val="1"/>
          <c:order val="1"/>
          <c:tx>
            <c:strRef>
              <c:f>'Comparativo Gini'!$B$5</c:f>
              <c:strCache>
                <c:ptCount val="1"/>
                <c:pt idx="0">
                  <c:v>Caminhabilidade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'Comparativo Gini'!$C$3</c:f>
              <c:strCache>
                <c:ptCount val="1"/>
                <c:pt idx="0">
                  <c:v>Índice de Gini</c:v>
                </c:pt>
              </c:strCache>
            </c:strRef>
          </c:cat>
          <c:val>
            <c:numRef>
              <c:f>'Comparativo Gini'!$C$5</c:f>
              <c:numCache>
                <c:formatCode>General</c:formatCode>
                <c:ptCount val="1"/>
                <c:pt idx="0">
                  <c:v>0.14130000000000001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53-498F-B5D8-BC1E2E2B8715}"/>
            </c:ext>
          </c:extLst>
        </c:ser>
        <c:ser>
          <c:idx val="2"/>
          <c:order val="2"/>
          <c:tx>
            <c:strRef>
              <c:f>'Comparativo Gini'!$B$6</c:f>
              <c:strCache>
                <c:ptCount val="1"/>
                <c:pt idx="0">
                  <c:v>Ciclabilidade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'Comparativo Gini'!$C$3</c:f>
              <c:strCache>
                <c:ptCount val="1"/>
                <c:pt idx="0">
                  <c:v>Índice de Gini</c:v>
                </c:pt>
              </c:strCache>
            </c:strRef>
          </c:cat>
          <c:val>
            <c:numRef>
              <c:f>'Comparativo Gini'!$C$6</c:f>
              <c:numCache>
                <c:formatCode>General</c:formatCode>
                <c:ptCount val="1"/>
                <c:pt idx="0">
                  <c:v>0.3377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53-498F-B5D8-BC1E2E2B8715}"/>
            </c:ext>
          </c:extLst>
        </c:ser>
        <c:ser>
          <c:idx val="3"/>
          <c:order val="3"/>
          <c:tx>
            <c:strRef>
              <c:f>'Comparativo Gini'!$B$7</c:f>
              <c:strCache>
                <c:ptCount val="1"/>
                <c:pt idx="0">
                  <c:v>Transporte Público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'Comparativo Gini'!$C$3</c:f>
              <c:strCache>
                <c:ptCount val="1"/>
                <c:pt idx="0">
                  <c:v>Índice de Gini</c:v>
                </c:pt>
              </c:strCache>
            </c:strRef>
          </c:cat>
          <c:val>
            <c:numRef>
              <c:f>'Comparativo Gini'!$C$7</c:f>
              <c:numCache>
                <c:formatCode>General</c:formatCode>
                <c:ptCount val="1"/>
                <c:pt idx="0">
                  <c:v>0.18099999999999999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353-498F-B5D8-BC1E2E2B8715}"/>
            </c:ext>
          </c:extLst>
        </c:ser>
        <c:ser>
          <c:idx val="4"/>
          <c:order val="4"/>
          <c:tx>
            <c:strRef>
              <c:f>'Comparativo Gini'!$B$8</c:f>
              <c:strCache>
                <c:ptCount val="1"/>
                <c:pt idx="0">
                  <c:v>Proximidade Territorial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'Comparativo Gini'!$C$3</c:f>
              <c:strCache>
                <c:ptCount val="1"/>
                <c:pt idx="0">
                  <c:v>Índice de Gini</c:v>
                </c:pt>
              </c:strCache>
            </c:strRef>
          </c:cat>
          <c:val>
            <c:numRef>
              <c:f>'Comparativo Gini'!$C$8</c:f>
              <c:numCache>
                <c:formatCode>General</c:formatCode>
                <c:ptCount val="1"/>
                <c:pt idx="0">
                  <c:v>0.13550000000000001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353-498F-B5D8-BC1E2E2B8715}"/>
            </c:ext>
          </c:extLst>
        </c:ser>
        <c:ser>
          <c:idx val="5"/>
          <c:order val="5"/>
          <c:tx>
            <c:strRef>
              <c:f>'Comparativo Gini'!$B$9</c:f>
              <c:strCache>
                <c:ptCount val="1"/>
                <c:pt idx="0">
                  <c:v>Aspectos Ambientais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'Comparativo Gini'!$C$3</c:f>
              <c:strCache>
                <c:ptCount val="1"/>
                <c:pt idx="0">
                  <c:v>Índice de Gini</c:v>
                </c:pt>
              </c:strCache>
            </c:strRef>
          </c:cat>
          <c:val>
            <c:numRef>
              <c:f>'Comparativo Gini'!$C$9</c:f>
              <c:numCache>
                <c:formatCode>General</c:formatCode>
                <c:ptCount val="1"/>
                <c:pt idx="0">
                  <c:v>0.1014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353-498F-B5D8-BC1E2E2B871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1162223"/>
        <c:axId val="131161263"/>
      </c:barChart>
      <c:catAx>
        <c:axId val="1311622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1161263"/>
        <c:crosses val="autoZero"/>
        <c:auto val="1"/>
        <c:lblAlgn val="ctr"/>
        <c:lblOffset val="100"/>
        <c:noMultiLvlLbl val="0"/>
      </c:catAx>
      <c:valAx>
        <c:axId val="13116126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31162223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490537</xdr:colOff>
      <xdr:row>11</xdr:row>
      <xdr:rowOff>38099</xdr:rowOff>
    </xdr:from>
    <xdr:to>
      <xdr:col>22</xdr:col>
      <xdr:colOff>300037</xdr:colOff>
      <xdr:row>30</xdr:row>
      <xdr:rowOff>171449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9EBD02-850A-BE93-97C5-46A09142DB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390524</xdr:colOff>
      <xdr:row>31</xdr:row>
      <xdr:rowOff>119061</xdr:rowOff>
    </xdr:from>
    <xdr:to>
      <xdr:col>22</xdr:col>
      <xdr:colOff>304799</xdr:colOff>
      <xdr:row>50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FEFD9D0-60B1-B6EA-F153-32E9A89F9A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0.15599</cdr:x>
      <cdr:y>0.83963</cdr:y>
    </cdr:from>
    <cdr:to>
      <cdr:x>0.4589</cdr:x>
      <cdr:y>0.93283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7CC4E522-872C-4101-6CA9-E91D4C3C22C6}"/>
            </a:ext>
          </a:extLst>
        </cdr:cNvPr>
        <cdr:cNvSpPr txBox="1"/>
      </cdr:nvSpPr>
      <cdr:spPr>
        <a:xfrm xmlns:a="http://schemas.openxmlformats.org/drawingml/2006/main">
          <a:off x="765175" y="3175000"/>
          <a:ext cx="1485901" cy="3524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1100" b="1" kern="1200">
              <a:solidFill>
                <a:srgbClr val="595959"/>
              </a:solidFill>
            </a:rPr>
            <a:t>Índice de Gini = 0,0969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490537</xdr:colOff>
      <xdr:row>11</xdr:row>
      <xdr:rowOff>38099</xdr:rowOff>
    </xdr:from>
    <xdr:to>
      <xdr:col>22</xdr:col>
      <xdr:colOff>300037</xdr:colOff>
      <xdr:row>30</xdr:row>
      <xdr:rowOff>171449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A67876F-D9F0-4592-8AC5-13B9532CCC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390524</xdr:colOff>
      <xdr:row>31</xdr:row>
      <xdr:rowOff>119061</xdr:rowOff>
    </xdr:from>
    <xdr:to>
      <xdr:col>22</xdr:col>
      <xdr:colOff>304799</xdr:colOff>
      <xdr:row>50</xdr:row>
      <xdr:rowOff>180975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00E36EF-225D-40D1-BECF-D8751DCDD9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0.15049</cdr:x>
      <cdr:y>0.84131</cdr:y>
    </cdr:from>
    <cdr:to>
      <cdr:x>0.4534</cdr:x>
      <cdr:y>0.93451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979DFBF2-1A6E-A369-CD45-19E4C9DDBFEF}"/>
            </a:ext>
          </a:extLst>
        </cdr:cNvPr>
        <cdr:cNvSpPr txBox="1"/>
      </cdr:nvSpPr>
      <cdr:spPr>
        <a:xfrm xmlns:a="http://schemas.openxmlformats.org/drawingml/2006/main">
          <a:off x="738187" y="3181351"/>
          <a:ext cx="1485901" cy="3524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t-BR" sz="1100" b="1" kern="1200">
              <a:solidFill>
                <a:srgbClr val="595959"/>
              </a:solidFill>
            </a:rPr>
            <a:t>Índice de Gini = 0,1413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490537</xdr:colOff>
      <xdr:row>11</xdr:row>
      <xdr:rowOff>38099</xdr:rowOff>
    </xdr:from>
    <xdr:to>
      <xdr:col>22</xdr:col>
      <xdr:colOff>300037</xdr:colOff>
      <xdr:row>30</xdr:row>
      <xdr:rowOff>171449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B590117-EB0E-4D19-90C2-EF9A8BAF18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390524</xdr:colOff>
      <xdr:row>31</xdr:row>
      <xdr:rowOff>119061</xdr:rowOff>
    </xdr:from>
    <xdr:to>
      <xdr:col>22</xdr:col>
      <xdr:colOff>304799</xdr:colOff>
      <xdr:row>50</xdr:row>
      <xdr:rowOff>180975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E16668-EB29-41D4-B471-D522A737BC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0.15016</cdr:x>
      <cdr:y>0.83711</cdr:y>
    </cdr:from>
    <cdr:to>
      <cdr:x>0.45307</cdr:x>
      <cdr:y>0.93031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891E1751-4402-29F2-040B-0C2EAFC71492}"/>
            </a:ext>
          </a:extLst>
        </cdr:cNvPr>
        <cdr:cNvSpPr txBox="1"/>
      </cdr:nvSpPr>
      <cdr:spPr>
        <a:xfrm xmlns:a="http://schemas.openxmlformats.org/drawingml/2006/main">
          <a:off x="736600" y="3165475"/>
          <a:ext cx="1485901" cy="3524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1100" b="1" kern="1200">
              <a:solidFill>
                <a:srgbClr val="595959"/>
              </a:solidFill>
            </a:rPr>
            <a:t>Índice de Gini = 0,3377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490537</xdr:colOff>
      <xdr:row>11</xdr:row>
      <xdr:rowOff>38099</xdr:rowOff>
    </xdr:from>
    <xdr:to>
      <xdr:col>22</xdr:col>
      <xdr:colOff>300037</xdr:colOff>
      <xdr:row>30</xdr:row>
      <xdr:rowOff>171449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E165EAC-720D-49DE-BBD9-C269524A29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390524</xdr:colOff>
      <xdr:row>31</xdr:row>
      <xdr:rowOff>119061</xdr:rowOff>
    </xdr:from>
    <xdr:to>
      <xdr:col>22</xdr:col>
      <xdr:colOff>304799</xdr:colOff>
      <xdr:row>50</xdr:row>
      <xdr:rowOff>180975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45AF89E-D420-4575-B7DF-DF99495B3C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0.15405</cdr:x>
      <cdr:y>0.83711</cdr:y>
    </cdr:from>
    <cdr:to>
      <cdr:x>0.45696</cdr:x>
      <cdr:y>0.93031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891E1751-4402-29F2-040B-0C2EAFC71492}"/>
            </a:ext>
          </a:extLst>
        </cdr:cNvPr>
        <cdr:cNvSpPr txBox="1"/>
      </cdr:nvSpPr>
      <cdr:spPr>
        <a:xfrm xmlns:a="http://schemas.openxmlformats.org/drawingml/2006/main">
          <a:off x="755650" y="3165475"/>
          <a:ext cx="1485901" cy="3524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1100" b="1" kern="1200">
              <a:solidFill>
                <a:srgbClr val="595959"/>
              </a:solidFill>
            </a:rPr>
            <a:t>Índice de Gini = 0,1810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490537</xdr:colOff>
      <xdr:row>11</xdr:row>
      <xdr:rowOff>38099</xdr:rowOff>
    </xdr:from>
    <xdr:to>
      <xdr:col>22</xdr:col>
      <xdr:colOff>300037</xdr:colOff>
      <xdr:row>30</xdr:row>
      <xdr:rowOff>171449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7584DEE-7BDA-4380-95CB-2971E6392B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390524</xdr:colOff>
      <xdr:row>31</xdr:row>
      <xdr:rowOff>119061</xdr:rowOff>
    </xdr:from>
    <xdr:to>
      <xdr:col>22</xdr:col>
      <xdr:colOff>304799</xdr:colOff>
      <xdr:row>50</xdr:row>
      <xdr:rowOff>180975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8E21718-E841-42B2-A68E-A3166AD040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0.15405</cdr:x>
      <cdr:y>0.83711</cdr:y>
    </cdr:from>
    <cdr:to>
      <cdr:x>0.45696</cdr:x>
      <cdr:y>0.93031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891E1751-4402-29F2-040B-0C2EAFC71492}"/>
            </a:ext>
          </a:extLst>
        </cdr:cNvPr>
        <cdr:cNvSpPr txBox="1"/>
      </cdr:nvSpPr>
      <cdr:spPr>
        <a:xfrm xmlns:a="http://schemas.openxmlformats.org/drawingml/2006/main">
          <a:off x="755650" y="3165475"/>
          <a:ext cx="1485901" cy="3524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1100" b="1" kern="1200">
              <a:solidFill>
                <a:srgbClr val="595959"/>
              </a:solidFill>
            </a:rPr>
            <a:t>Índice de Gini = 0,1355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490537</xdr:colOff>
      <xdr:row>11</xdr:row>
      <xdr:rowOff>38099</xdr:rowOff>
    </xdr:from>
    <xdr:to>
      <xdr:col>22</xdr:col>
      <xdr:colOff>300037</xdr:colOff>
      <xdr:row>30</xdr:row>
      <xdr:rowOff>171449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34210DE-7D34-413B-8A35-0CE0684490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390524</xdr:colOff>
      <xdr:row>31</xdr:row>
      <xdr:rowOff>119061</xdr:rowOff>
    </xdr:from>
    <xdr:to>
      <xdr:col>22</xdr:col>
      <xdr:colOff>304799</xdr:colOff>
      <xdr:row>50</xdr:row>
      <xdr:rowOff>180975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B67F0DA-705F-4095-9759-6304D73FA7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0.15405</cdr:x>
      <cdr:y>0.83711</cdr:y>
    </cdr:from>
    <cdr:to>
      <cdr:x>0.45696</cdr:x>
      <cdr:y>0.93031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891E1751-4402-29F2-040B-0C2EAFC71492}"/>
            </a:ext>
          </a:extLst>
        </cdr:cNvPr>
        <cdr:cNvSpPr txBox="1"/>
      </cdr:nvSpPr>
      <cdr:spPr>
        <a:xfrm xmlns:a="http://schemas.openxmlformats.org/drawingml/2006/main">
          <a:off x="755650" y="3165475"/>
          <a:ext cx="1485901" cy="35242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t-BR" sz="1100" b="1" kern="1200">
              <a:solidFill>
                <a:srgbClr val="595959"/>
              </a:solidFill>
            </a:rPr>
            <a:t>Índice de Gini = 0,1014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133349</xdr:colOff>
      <xdr:row>10</xdr:row>
      <xdr:rowOff>61912</xdr:rowOff>
    </xdr:from>
    <xdr:to>
      <xdr:col>19</xdr:col>
      <xdr:colOff>47624</xdr:colOff>
      <xdr:row>21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73B3F87-6F38-FCE3-0C28-42C7B461A5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0.42581</cdr:x>
      <cdr:y>0.28231</cdr:y>
    </cdr:from>
    <cdr:to>
      <cdr:x>0.57419</cdr:x>
      <cdr:y>0.71769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EFEA19D2-A898-1154-1017-A33626D360F8}"/>
            </a:ext>
          </a:extLst>
        </cdr:cNvPr>
        <cdr:cNvSpPr txBox="1"/>
      </cdr:nvSpPr>
      <cdr:spPr>
        <a:xfrm xmlns:a="http://schemas.openxmlformats.org/drawingml/2006/main">
          <a:off x="2624137" y="592931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t-BR" sz="1100" kern="1200"/>
        </a:p>
      </cdr:txBody>
    </cdr:sp>
  </cdr:relSizeAnchor>
  <cdr:relSizeAnchor xmlns:cdr="http://schemas.openxmlformats.org/drawingml/2006/chartDrawing">
    <cdr:from>
      <cdr:x>0.15642</cdr:x>
      <cdr:y>0.7618</cdr:y>
    </cdr:from>
    <cdr:to>
      <cdr:x>0.21556</cdr:x>
      <cdr:y>0.9191</cdr:y>
    </cdr:to>
    <cdr:sp macro="" textlink="">
      <cdr:nvSpPr>
        <cdr:cNvPr id="3" name="CaixaDeTexto 2">
          <a:extLst xmlns:a="http://schemas.openxmlformats.org/drawingml/2006/main">
            <a:ext uri="{FF2B5EF4-FFF2-40B4-BE49-F238E27FC236}">
              <a16:creationId xmlns:a16="http://schemas.microsoft.com/office/drawing/2014/main" id="{6F9F1800-D3B2-ECB3-75EE-110E46A7B325}"/>
            </a:ext>
          </a:extLst>
        </cdr:cNvPr>
        <cdr:cNvSpPr txBox="1"/>
      </cdr:nvSpPr>
      <cdr:spPr>
        <a:xfrm xmlns:a="http://schemas.openxmlformats.org/drawingml/2006/main">
          <a:off x="1416915" y="1614488"/>
          <a:ext cx="535711" cy="3333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t-BR" sz="1000" b="1" kern="1200">
              <a:solidFill>
                <a:srgbClr val="595959"/>
              </a:solidFill>
            </a:rPr>
            <a:t>IMAP      </a:t>
          </a:r>
        </a:p>
      </cdr:txBody>
    </cdr:sp>
  </cdr:relSizeAnchor>
  <cdr:relSizeAnchor xmlns:cdr="http://schemas.openxmlformats.org/drawingml/2006/chartDrawing">
    <cdr:from>
      <cdr:x>0.25026</cdr:x>
      <cdr:y>0.76105</cdr:y>
    </cdr:from>
    <cdr:to>
      <cdr:x>0.37119</cdr:x>
      <cdr:y>0.91835</cdr:y>
    </cdr:to>
    <cdr:sp macro="" textlink="">
      <cdr:nvSpPr>
        <cdr:cNvPr id="4" name="CaixaDeTexto 1">
          <a:extLst xmlns:a="http://schemas.openxmlformats.org/drawingml/2006/main">
            <a:ext uri="{FF2B5EF4-FFF2-40B4-BE49-F238E27FC236}">
              <a16:creationId xmlns:a16="http://schemas.microsoft.com/office/drawing/2014/main" id="{522F58D3-0568-4E02-A761-3BDE8F64BCCC}"/>
            </a:ext>
          </a:extLst>
        </cdr:cNvPr>
        <cdr:cNvSpPr txBox="1"/>
      </cdr:nvSpPr>
      <cdr:spPr>
        <a:xfrm xmlns:a="http://schemas.openxmlformats.org/drawingml/2006/main">
          <a:off x="2266950" y="1612900"/>
          <a:ext cx="1095375" cy="3333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sz="1000" b="1" kern="1200">
              <a:solidFill>
                <a:srgbClr val="595959"/>
              </a:solidFill>
            </a:rPr>
            <a:t>Caminhabilidade     </a:t>
          </a:r>
        </a:p>
      </cdr:txBody>
    </cdr:sp>
  </cdr:relSizeAnchor>
  <cdr:relSizeAnchor xmlns:cdr="http://schemas.openxmlformats.org/drawingml/2006/chartDrawing">
    <cdr:from>
      <cdr:x>0.3768</cdr:x>
      <cdr:y>0.76554</cdr:y>
    </cdr:from>
    <cdr:to>
      <cdr:x>0.49772</cdr:x>
      <cdr:y>0.92285</cdr:y>
    </cdr:to>
    <cdr:sp macro="" textlink="">
      <cdr:nvSpPr>
        <cdr:cNvPr id="5" name="CaixaDeTexto 1">
          <a:extLst xmlns:a="http://schemas.openxmlformats.org/drawingml/2006/main">
            <a:ext uri="{FF2B5EF4-FFF2-40B4-BE49-F238E27FC236}">
              <a16:creationId xmlns:a16="http://schemas.microsoft.com/office/drawing/2014/main" id="{1111B101-CAE4-5D3F-81B3-EF8AF3410932}"/>
            </a:ext>
          </a:extLst>
        </cdr:cNvPr>
        <cdr:cNvSpPr txBox="1"/>
      </cdr:nvSpPr>
      <cdr:spPr>
        <a:xfrm xmlns:a="http://schemas.openxmlformats.org/drawingml/2006/main">
          <a:off x="3413125" y="1622425"/>
          <a:ext cx="1095375" cy="3333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sz="1000" b="1" kern="1200">
              <a:solidFill>
                <a:srgbClr val="595959"/>
              </a:solidFill>
            </a:rPr>
            <a:t>Ciclabilidade</a:t>
          </a:r>
        </a:p>
      </cdr:txBody>
    </cdr:sp>
  </cdr:relSizeAnchor>
  <cdr:relSizeAnchor xmlns:cdr="http://schemas.openxmlformats.org/drawingml/2006/chartDrawing">
    <cdr:from>
      <cdr:x>0.51314</cdr:x>
      <cdr:y>0.77004</cdr:y>
    </cdr:from>
    <cdr:to>
      <cdr:x>0.61514</cdr:x>
      <cdr:y>0.92734</cdr:y>
    </cdr:to>
    <cdr:sp macro="" textlink="">
      <cdr:nvSpPr>
        <cdr:cNvPr id="6" name="CaixaDeTexto 1">
          <a:extLst xmlns:a="http://schemas.openxmlformats.org/drawingml/2006/main">
            <a:ext uri="{FF2B5EF4-FFF2-40B4-BE49-F238E27FC236}">
              <a16:creationId xmlns:a16="http://schemas.microsoft.com/office/drawing/2014/main" id="{59BF162E-AC90-592D-9C88-BF63BC20EC27}"/>
            </a:ext>
          </a:extLst>
        </cdr:cNvPr>
        <cdr:cNvSpPr txBox="1"/>
      </cdr:nvSpPr>
      <cdr:spPr>
        <a:xfrm xmlns:a="http://schemas.openxmlformats.org/drawingml/2006/main">
          <a:off x="4648201" y="1631950"/>
          <a:ext cx="923926" cy="3333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sz="1000" b="1" kern="1200">
              <a:solidFill>
                <a:srgbClr val="595959"/>
              </a:solidFill>
            </a:rPr>
            <a:t>Transporte Público     </a:t>
          </a:r>
        </a:p>
      </cdr:txBody>
    </cdr:sp>
  </cdr:relSizeAnchor>
  <cdr:relSizeAnchor xmlns:cdr="http://schemas.openxmlformats.org/drawingml/2006/chartDrawing">
    <cdr:from>
      <cdr:x>0.63863</cdr:x>
      <cdr:y>0.77004</cdr:y>
    </cdr:from>
    <cdr:to>
      <cdr:x>0.74062</cdr:x>
      <cdr:y>0.92734</cdr:y>
    </cdr:to>
    <cdr:sp macro="" textlink="">
      <cdr:nvSpPr>
        <cdr:cNvPr id="7" name="CaixaDeTexto 1">
          <a:extLst xmlns:a="http://schemas.openxmlformats.org/drawingml/2006/main">
            <a:ext uri="{FF2B5EF4-FFF2-40B4-BE49-F238E27FC236}">
              <a16:creationId xmlns:a16="http://schemas.microsoft.com/office/drawing/2014/main" id="{50727734-65A1-31BB-71AF-18DB797D13D5}"/>
            </a:ext>
          </a:extLst>
        </cdr:cNvPr>
        <cdr:cNvSpPr txBox="1"/>
      </cdr:nvSpPr>
      <cdr:spPr>
        <a:xfrm xmlns:a="http://schemas.openxmlformats.org/drawingml/2006/main">
          <a:off x="5784850" y="1631950"/>
          <a:ext cx="923926" cy="3333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sz="1000" b="1" kern="1200">
              <a:solidFill>
                <a:srgbClr val="595959"/>
              </a:solidFill>
            </a:rPr>
            <a:t>Proximidade Territorial</a:t>
          </a:r>
        </a:p>
      </cdr:txBody>
    </cdr:sp>
  </cdr:relSizeAnchor>
  <cdr:relSizeAnchor xmlns:cdr="http://schemas.openxmlformats.org/drawingml/2006/chartDrawing">
    <cdr:from>
      <cdr:x>0.76796</cdr:x>
      <cdr:y>0.77453</cdr:y>
    </cdr:from>
    <cdr:to>
      <cdr:x>0.86996</cdr:x>
      <cdr:y>0.93183</cdr:y>
    </cdr:to>
    <cdr:sp macro="" textlink="">
      <cdr:nvSpPr>
        <cdr:cNvPr id="8" name="CaixaDeTexto 1">
          <a:extLst xmlns:a="http://schemas.openxmlformats.org/drawingml/2006/main">
            <a:ext uri="{FF2B5EF4-FFF2-40B4-BE49-F238E27FC236}">
              <a16:creationId xmlns:a16="http://schemas.microsoft.com/office/drawing/2014/main" id="{2EE38B25-5822-9354-E892-F71CCA15BC30}"/>
            </a:ext>
          </a:extLst>
        </cdr:cNvPr>
        <cdr:cNvSpPr txBox="1"/>
      </cdr:nvSpPr>
      <cdr:spPr>
        <a:xfrm xmlns:a="http://schemas.openxmlformats.org/drawingml/2006/main">
          <a:off x="6956425" y="1641475"/>
          <a:ext cx="923926" cy="3333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sz="1000" b="1" kern="1200">
              <a:solidFill>
                <a:srgbClr val="595959"/>
              </a:solidFill>
            </a:rPr>
            <a:t>Aspectos</a:t>
          </a:r>
          <a:r>
            <a:rPr lang="pt-BR" sz="1000" b="1" kern="1200" baseline="0">
              <a:solidFill>
                <a:srgbClr val="595959"/>
              </a:solidFill>
            </a:rPr>
            <a:t> Ambientais</a:t>
          </a:r>
          <a:endParaRPr lang="pt-BR" sz="1000" b="1" kern="1200">
            <a:solidFill>
              <a:srgbClr val="595959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D1918-D49E-4EA9-BA71-1BC83B734B61}">
  <dimension ref="A1:D23"/>
  <sheetViews>
    <sheetView tabSelected="1" zoomScale="98" workbookViewId="0">
      <selection activeCell="A3" sqref="A3:A6"/>
    </sheetView>
  </sheetViews>
  <sheetFormatPr defaultRowHeight="15" x14ac:dyDescent="0.25"/>
  <cols>
    <col min="1" max="1" width="20.28515625" customWidth="1"/>
    <col min="2" max="2" width="58.7109375" customWidth="1"/>
    <col min="3" max="3" width="17" style="65" customWidth="1"/>
    <col min="4" max="4" width="99.5703125" style="74" customWidth="1"/>
  </cols>
  <sheetData>
    <row r="1" spans="1:4" s="4" customFormat="1" ht="15.75" thickBot="1" x14ac:dyDescent="0.3">
      <c r="A1" s="79"/>
      <c r="C1" s="12"/>
      <c r="D1" s="69"/>
    </row>
    <row r="2" spans="1:4" s="3" customFormat="1" ht="33" customHeight="1" thickBot="1" x14ac:dyDescent="0.3">
      <c r="A2" s="81"/>
      <c r="B2" s="80" t="s">
        <v>0</v>
      </c>
      <c r="C2" s="52" t="s">
        <v>122</v>
      </c>
      <c r="D2" s="70" t="s">
        <v>119</v>
      </c>
    </row>
    <row r="3" spans="1:4" ht="36.75" customHeight="1" x14ac:dyDescent="0.25">
      <c r="A3" s="131" t="s">
        <v>1</v>
      </c>
      <c r="B3" s="37" t="s">
        <v>2</v>
      </c>
      <c r="C3" s="76" t="s">
        <v>147</v>
      </c>
      <c r="D3" s="68" t="s">
        <v>143</v>
      </c>
    </row>
    <row r="4" spans="1:4" ht="36.75" customHeight="1" x14ac:dyDescent="0.25">
      <c r="A4" s="132"/>
      <c r="B4" s="41" t="s">
        <v>3</v>
      </c>
      <c r="C4" s="78" t="s">
        <v>147</v>
      </c>
      <c r="D4" s="71" t="s">
        <v>145</v>
      </c>
    </row>
    <row r="5" spans="1:4" ht="36.75" customHeight="1" x14ac:dyDescent="0.25">
      <c r="A5" s="132"/>
      <c r="B5" s="41" t="s">
        <v>4</v>
      </c>
      <c r="C5" s="78" t="s">
        <v>147</v>
      </c>
      <c r="D5" s="71" t="s">
        <v>131</v>
      </c>
    </row>
    <row r="6" spans="1:4" ht="75.75" thickBot="1" x14ac:dyDescent="0.3">
      <c r="A6" s="133"/>
      <c r="B6" s="42" t="s">
        <v>5</v>
      </c>
      <c r="C6" s="77" t="s">
        <v>147</v>
      </c>
      <c r="D6" s="72" t="s">
        <v>132</v>
      </c>
    </row>
    <row r="7" spans="1:4" ht="36.75" customHeight="1" x14ac:dyDescent="0.25">
      <c r="A7" s="134" t="s">
        <v>6</v>
      </c>
      <c r="B7" s="39" t="s">
        <v>7</v>
      </c>
      <c r="C7" s="54" t="s">
        <v>147</v>
      </c>
      <c r="D7" s="68" t="s">
        <v>133</v>
      </c>
    </row>
    <row r="8" spans="1:4" ht="36.75" hidden="1" customHeight="1" x14ac:dyDescent="0.25">
      <c r="A8" s="135"/>
      <c r="B8" s="38" t="s">
        <v>8</v>
      </c>
      <c r="C8" s="55" t="s">
        <v>86</v>
      </c>
      <c r="D8" s="73"/>
    </row>
    <row r="9" spans="1:4" ht="36.75" customHeight="1" x14ac:dyDescent="0.25">
      <c r="A9" s="135"/>
      <c r="B9" s="38" t="s">
        <v>120</v>
      </c>
      <c r="C9" s="55" t="s">
        <v>87</v>
      </c>
      <c r="D9" s="71" t="s">
        <v>121</v>
      </c>
    </row>
    <row r="10" spans="1:4" ht="36.75" customHeight="1" thickBot="1" x14ac:dyDescent="0.3">
      <c r="A10" s="136"/>
      <c r="B10" s="40" t="s">
        <v>114</v>
      </c>
      <c r="C10" s="56" t="s">
        <v>88</v>
      </c>
      <c r="D10" s="72" t="s">
        <v>139</v>
      </c>
    </row>
    <row r="11" spans="1:4" ht="36.75" customHeight="1" x14ac:dyDescent="0.25">
      <c r="A11" s="137" t="s">
        <v>9</v>
      </c>
      <c r="B11" s="43" t="s">
        <v>103</v>
      </c>
      <c r="C11" s="57" t="s">
        <v>147</v>
      </c>
      <c r="D11" s="68" t="s">
        <v>134</v>
      </c>
    </row>
    <row r="12" spans="1:4" ht="36.75" customHeight="1" x14ac:dyDescent="0.25">
      <c r="A12" s="138"/>
      <c r="B12" s="44" t="s">
        <v>104</v>
      </c>
      <c r="C12" s="58" t="s">
        <v>147</v>
      </c>
      <c r="D12" s="71" t="s">
        <v>135</v>
      </c>
    </row>
    <row r="13" spans="1:4" ht="55.5" customHeight="1" x14ac:dyDescent="0.25">
      <c r="A13" s="138"/>
      <c r="B13" s="44" t="s">
        <v>117</v>
      </c>
      <c r="C13" s="66" t="s">
        <v>128</v>
      </c>
      <c r="D13" s="71" t="s">
        <v>140</v>
      </c>
    </row>
    <row r="14" spans="1:4" ht="45.75" thickBot="1" x14ac:dyDescent="0.3">
      <c r="A14" s="139"/>
      <c r="B14" s="45" t="s">
        <v>111</v>
      </c>
      <c r="C14" s="59" t="s">
        <v>90</v>
      </c>
      <c r="D14" s="72" t="s">
        <v>141</v>
      </c>
    </row>
    <row r="15" spans="1:4" ht="36.75" customHeight="1" x14ac:dyDescent="0.25">
      <c r="A15" s="140" t="s">
        <v>10</v>
      </c>
      <c r="B15" s="46" t="s">
        <v>82</v>
      </c>
      <c r="C15" s="60" t="s">
        <v>147</v>
      </c>
      <c r="D15" s="68" t="s">
        <v>136</v>
      </c>
    </row>
    <row r="16" spans="1:4" ht="36.75" customHeight="1" x14ac:dyDescent="0.25">
      <c r="A16" s="141"/>
      <c r="B16" s="47" t="s">
        <v>83</v>
      </c>
      <c r="C16" s="61" t="s">
        <v>147</v>
      </c>
      <c r="D16" s="71" t="s">
        <v>137</v>
      </c>
    </row>
    <row r="17" spans="1:4" ht="45" x14ac:dyDescent="0.25">
      <c r="A17" s="141"/>
      <c r="B17" s="47" t="s">
        <v>84</v>
      </c>
      <c r="C17" s="61" t="s">
        <v>147</v>
      </c>
      <c r="D17" s="71" t="s">
        <v>138</v>
      </c>
    </row>
    <row r="18" spans="1:4" ht="69" customHeight="1" thickBot="1" x14ac:dyDescent="0.3">
      <c r="A18" s="142"/>
      <c r="B18" s="48" t="s">
        <v>11</v>
      </c>
      <c r="C18" s="62" t="s">
        <v>91</v>
      </c>
      <c r="D18" s="72" t="s">
        <v>148</v>
      </c>
    </row>
    <row r="19" spans="1:4" ht="75" x14ac:dyDescent="0.25">
      <c r="A19" s="143" t="s">
        <v>12</v>
      </c>
      <c r="B19" s="49" t="s">
        <v>13</v>
      </c>
      <c r="C19" s="67" t="s">
        <v>129</v>
      </c>
      <c r="D19" s="82" t="s">
        <v>142</v>
      </c>
    </row>
    <row r="20" spans="1:4" ht="30" x14ac:dyDescent="0.25">
      <c r="A20" s="144"/>
      <c r="B20" s="50" t="s">
        <v>14</v>
      </c>
      <c r="C20" s="63" t="s">
        <v>147</v>
      </c>
      <c r="D20" s="71" t="s">
        <v>146</v>
      </c>
    </row>
    <row r="21" spans="1:4" ht="36.75" customHeight="1" thickBot="1" x14ac:dyDescent="0.3">
      <c r="A21" s="145"/>
      <c r="B21" s="51" t="s">
        <v>85</v>
      </c>
      <c r="C21" s="64" t="s">
        <v>147</v>
      </c>
      <c r="D21" s="72" t="s">
        <v>144</v>
      </c>
    </row>
    <row r="22" spans="1:4" x14ac:dyDescent="0.25">
      <c r="A22" s="1"/>
    </row>
    <row r="23" spans="1:4" x14ac:dyDescent="0.25">
      <c r="A23" s="1"/>
    </row>
  </sheetData>
  <mergeCells count="5">
    <mergeCell ref="A3:A6"/>
    <mergeCell ref="A7:A10"/>
    <mergeCell ref="A11:A14"/>
    <mergeCell ref="A15:A18"/>
    <mergeCell ref="A19:A21"/>
  </mergeCells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46235-25BF-450C-81B9-8377F5D70F8C}">
  <dimension ref="A1:AM41"/>
  <sheetViews>
    <sheetView zoomScale="115" zoomScaleNormal="11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I2" sqref="AI2"/>
    </sheetView>
  </sheetViews>
  <sheetFormatPr defaultRowHeight="15" x14ac:dyDescent="0.25"/>
  <cols>
    <col min="1" max="1" width="20.28515625" customWidth="1"/>
    <col min="2" max="2" width="58.7109375" customWidth="1"/>
    <col min="3" max="3" width="17" customWidth="1"/>
    <col min="4" max="38" width="14.28515625" customWidth="1"/>
    <col min="39" max="39" width="10.7109375" bestFit="1" customWidth="1"/>
  </cols>
  <sheetData>
    <row r="1" spans="1:39" s="4" customFormat="1" x14ac:dyDescent="0.25">
      <c r="A1" s="8"/>
      <c r="B1" s="149" t="s">
        <v>0</v>
      </c>
      <c r="C1" s="12"/>
      <c r="D1" s="11" t="s">
        <v>15</v>
      </c>
      <c r="E1" s="10" t="s">
        <v>49</v>
      </c>
      <c r="F1" s="10" t="s">
        <v>50</v>
      </c>
      <c r="G1" s="10" t="s">
        <v>51</v>
      </c>
      <c r="H1" s="10" t="s">
        <v>52</v>
      </c>
      <c r="I1" s="10" t="s">
        <v>53</v>
      </c>
      <c r="J1" s="10" t="s">
        <v>54</v>
      </c>
      <c r="K1" s="10" t="s">
        <v>55</v>
      </c>
      <c r="L1" s="10" t="s">
        <v>56</v>
      </c>
      <c r="M1" s="10" t="s">
        <v>57</v>
      </c>
      <c r="N1" s="10" t="s">
        <v>58</v>
      </c>
      <c r="O1" s="10" t="s">
        <v>59</v>
      </c>
      <c r="P1" s="10" t="s">
        <v>171</v>
      </c>
      <c r="Q1" s="10" t="s">
        <v>60</v>
      </c>
      <c r="R1" s="10" t="s">
        <v>61</v>
      </c>
      <c r="S1" s="10" t="s">
        <v>62</v>
      </c>
      <c r="T1" s="10" t="s">
        <v>63</v>
      </c>
      <c r="U1" s="10" t="s">
        <v>64</v>
      </c>
      <c r="V1" s="10" t="s">
        <v>65</v>
      </c>
      <c r="W1" s="10" t="s">
        <v>66</v>
      </c>
      <c r="X1" s="10" t="s">
        <v>67</v>
      </c>
      <c r="Y1" s="10" t="s">
        <v>68</v>
      </c>
      <c r="Z1" s="10" t="s">
        <v>69</v>
      </c>
      <c r="AA1" s="10" t="s">
        <v>70</v>
      </c>
      <c r="AB1" s="10" t="s">
        <v>71</v>
      </c>
      <c r="AC1" s="10" t="s">
        <v>72</v>
      </c>
      <c r="AD1" s="10" t="s">
        <v>73</v>
      </c>
      <c r="AE1" s="10" t="s">
        <v>74</v>
      </c>
      <c r="AF1" s="10" t="s">
        <v>75</v>
      </c>
      <c r="AG1" s="10" t="s">
        <v>76</v>
      </c>
      <c r="AH1" s="10" t="s">
        <v>77</v>
      </c>
      <c r="AI1" s="10" t="s">
        <v>78</v>
      </c>
      <c r="AJ1" s="10" t="s">
        <v>79</v>
      </c>
      <c r="AK1" s="10" t="s">
        <v>80</v>
      </c>
      <c r="AL1" s="10" t="s">
        <v>81</v>
      </c>
    </row>
    <row r="2" spans="1:39" s="3" customFormat="1" ht="33" customHeight="1" thickBot="1" x14ac:dyDescent="0.3">
      <c r="A2" s="9"/>
      <c r="B2" s="150"/>
      <c r="C2" s="12"/>
      <c r="D2" s="30" t="s">
        <v>16</v>
      </c>
      <c r="E2" s="31" t="s">
        <v>17</v>
      </c>
      <c r="F2" s="31" t="s">
        <v>18</v>
      </c>
      <c r="G2" s="31" t="s">
        <v>19</v>
      </c>
      <c r="H2" s="31" t="s">
        <v>20</v>
      </c>
      <c r="I2" s="31" t="s">
        <v>21</v>
      </c>
      <c r="J2" s="31" t="s">
        <v>22</v>
      </c>
      <c r="K2" s="31" t="s">
        <v>23</v>
      </c>
      <c r="L2" s="31" t="s">
        <v>24</v>
      </c>
      <c r="M2" s="31" t="s">
        <v>25</v>
      </c>
      <c r="N2" s="31" t="s">
        <v>26</v>
      </c>
      <c r="O2" s="31" t="s">
        <v>27</v>
      </c>
      <c r="P2" s="31" t="s">
        <v>28</v>
      </c>
      <c r="Q2" s="31" t="s">
        <v>29</v>
      </c>
      <c r="R2" s="31" t="s">
        <v>30</v>
      </c>
      <c r="S2" s="31" t="s">
        <v>31</v>
      </c>
      <c r="T2" s="31" t="s">
        <v>32</v>
      </c>
      <c r="U2" s="31" t="s">
        <v>33</v>
      </c>
      <c r="V2" s="31" t="s">
        <v>34</v>
      </c>
      <c r="W2" s="31" t="s">
        <v>35</v>
      </c>
      <c r="X2" s="31" t="s">
        <v>36</v>
      </c>
      <c r="Y2" s="31" t="s">
        <v>37</v>
      </c>
      <c r="Z2" s="31" t="s">
        <v>38</v>
      </c>
      <c r="AA2" s="31" t="s">
        <v>39</v>
      </c>
      <c r="AB2" s="31" t="s">
        <v>40</v>
      </c>
      <c r="AC2" s="31" t="s">
        <v>41</v>
      </c>
      <c r="AD2" s="31" t="s">
        <v>42</v>
      </c>
      <c r="AE2" s="31" t="s">
        <v>43</v>
      </c>
      <c r="AF2" s="31" t="s">
        <v>96</v>
      </c>
      <c r="AG2" s="31" t="s">
        <v>44</v>
      </c>
      <c r="AH2" s="31" t="s">
        <v>45</v>
      </c>
      <c r="AI2" s="31" t="s">
        <v>172</v>
      </c>
      <c r="AJ2" s="31" t="s">
        <v>46</v>
      </c>
      <c r="AK2" s="31" t="s">
        <v>47</v>
      </c>
      <c r="AL2" s="31" t="s">
        <v>48</v>
      </c>
    </row>
    <row r="3" spans="1:39" s="3" customFormat="1" ht="33" customHeight="1" x14ac:dyDescent="0.25">
      <c r="A3" s="29"/>
      <c r="B3" s="33" t="s">
        <v>98</v>
      </c>
      <c r="C3" s="34" t="s">
        <v>90</v>
      </c>
      <c r="D3" s="2">
        <v>437.20138183</v>
      </c>
      <c r="E3" s="2">
        <v>276.05341381</v>
      </c>
      <c r="F3" s="2">
        <v>63.04456278</v>
      </c>
      <c r="G3" s="2">
        <v>470.18355935</v>
      </c>
      <c r="H3" s="2">
        <v>193.52647716999999</v>
      </c>
      <c r="I3" s="2">
        <v>1509.41488927</v>
      </c>
      <c r="J3" s="2">
        <v>831.20984934000001</v>
      </c>
      <c r="K3" s="2">
        <v>5.0468102799999999</v>
      </c>
      <c r="L3" s="2">
        <v>192.65694239999999</v>
      </c>
      <c r="M3" s="2">
        <v>25.223349540000001</v>
      </c>
      <c r="N3" s="2">
        <v>3.1911635600000001</v>
      </c>
      <c r="O3" s="2">
        <v>99.992286710000002</v>
      </c>
      <c r="P3" s="2">
        <v>131.58309301</v>
      </c>
      <c r="Q3" s="2">
        <v>262.70516852999998</v>
      </c>
      <c r="R3" s="2">
        <v>93.106374959999997</v>
      </c>
      <c r="S3" s="2">
        <v>76.048730239999998</v>
      </c>
      <c r="T3" s="2">
        <v>17.78111505</v>
      </c>
      <c r="U3" s="2">
        <v>75.491718939999998</v>
      </c>
      <c r="V3" s="2">
        <v>6.6018644000000002</v>
      </c>
      <c r="W3" s="2">
        <v>9.1865640400000004</v>
      </c>
      <c r="X3" s="2">
        <v>38.467155480000002</v>
      </c>
      <c r="Y3" s="2">
        <v>6.4674365700000003</v>
      </c>
      <c r="Z3" s="2">
        <v>1.6294368400000001</v>
      </c>
      <c r="AA3" s="2">
        <v>118.40556868</v>
      </c>
      <c r="AB3" s="2">
        <v>7.3865867700000001</v>
      </c>
      <c r="AC3" s="2">
        <v>181.35209354</v>
      </c>
      <c r="AD3" s="2">
        <v>291.42756158999998</v>
      </c>
      <c r="AE3" s="2">
        <v>34.301567759999998</v>
      </c>
      <c r="AF3" s="2">
        <v>29.050895799999999</v>
      </c>
      <c r="AG3" s="2">
        <v>42.878035590000003</v>
      </c>
      <c r="AH3" s="2">
        <v>154.38003352999999</v>
      </c>
      <c r="AI3" s="2">
        <v>40.491663959999997</v>
      </c>
      <c r="AJ3" s="2">
        <v>13.35849745</v>
      </c>
      <c r="AK3" s="2">
        <v>21.985816440000001</v>
      </c>
      <c r="AL3" s="2">
        <v>9.5121341000000008</v>
      </c>
    </row>
    <row r="4" spans="1:39" s="3" customFormat="1" ht="33" customHeight="1" x14ac:dyDescent="0.25">
      <c r="A4" s="29"/>
      <c r="B4" s="33" t="s">
        <v>107</v>
      </c>
      <c r="C4" s="34" t="s">
        <v>112</v>
      </c>
      <c r="D4" s="35">
        <v>207996</v>
      </c>
      <c r="E4" s="35">
        <v>133948</v>
      </c>
      <c r="F4" s="35">
        <v>201332</v>
      </c>
      <c r="G4" s="35">
        <v>41859</v>
      </c>
      <c r="H4" s="35">
        <v>70608</v>
      </c>
      <c r="I4" s="35">
        <v>121856</v>
      </c>
      <c r="J4" s="35">
        <v>55551</v>
      </c>
      <c r="K4" s="35">
        <v>22566</v>
      </c>
      <c r="L4" s="35">
        <v>287113</v>
      </c>
      <c r="M4" s="35">
        <v>127952</v>
      </c>
      <c r="N4" s="35">
        <v>26435</v>
      </c>
      <c r="O4" s="35">
        <v>227118</v>
      </c>
      <c r="P4" s="35">
        <v>121635</v>
      </c>
      <c r="Q4" s="35">
        <v>99050</v>
      </c>
      <c r="R4" s="35">
        <v>105862</v>
      </c>
      <c r="S4" s="35">
        <v>27213</v>
      </c>
      <c r="T4" s="35">
        <v>41040</v>
      </c>
      <c r="U4" s="35">
        <v>43817</v>
      </c>
      <c r="V4" s="35">
        <v>14540</v>
      </c>
      <c r="W4" s="35">
        <v>141872</v>
      </c>
      <c r="X4" s="35">
        <v>70180</v>
      </c>
      <c r="Y4" s="35">
        <v>46004</v>
      </c>
      <c r="Z4" s="35">
        <v>9017</v>
      </c>
      <c r="AA4" s="35">
        <v>22667</v>
      </c>
      <c r="AB4" s="35">
        <v>38047</v>
      </c>
      <c r="AC4" s="35">
        <v>79932</v>
      </c>
      <c r="AD4" s="35">
        <v>75133</v>
      </c>
      <c r="AE4" s="35">
        <v>67021</v>
      </c>
      <c r="AF4" s="35">
        <v>5630</v>
      </c>
      <c r="AG4" s="35">
        <v>105062</v>
      </c>
      <c r="AH4" s="35">
        <v>9141</v>
      </c>
      <c r="AI4" s="35">
        <v>108713</v>
      </c>
      <c r="AJ4" s="35">
        <v>44774</v>
      </c>
      <c r="AK4" s="35">
        <v>49067</v>
      </c>
      <c r="AL4" s="35">
        <v>11306</v>
      </c>
      <c r="AM4" s="27"/>
    </row>
    <row r="5" spans="1:39" ht="36.75" customHeight="1" x14ac:dyDescent="0.25">
      <c r="A5" s="151" t="s">
        <v>1</v>
      </c>
      <c r="B5" s="19" t="s">
        <v>2</v>
      </c>
      <c r="C5" s="32" t="s">
        <v>93</v>
      </c>
      <c r="D5" s="6">
        <v>0.95</v>
      </c>
      <c r="E5" s="5">
        <v>0.88</v>
      </c>
      <c r="F5" s="5">
        <v>0.94599999999999995</v>
      </c>
      <c r="G5" s="5">
        <v>0.94199999999999995</v>
      </c>
      <c r="H5" s="5">
        <v>0.77700000000000002</v>
      </c>
      <c r="I5" s="5">
        <v>0.17100000000000001</v>
      </c>
      <c r="J5" s="5">
        <v>0.94399999999999995</v>
      </c>
      <c r="K5" s="5">
        <v>0.77200000000000002</v>
      </c>
      <c r="L5" s="5">
        <v>0.88</v>
      </c>
      <c r="M5" s="5">
        <v>0.81899999999999995</v>
      </c>
      <c r="N5" s="5">
        <v>0.96199999999999997</v>
      </c>
      <c r="O5" s="5">
        <v>0.89300000000000002</v>
      </c>
      <c r="P5" s="5">
        <v>0.89100000000000001</v>
      </c>
      <c r="Q5" s="5">
        <v>0.55600000000000005</v>
      </c>
      <c r="R5" s="5">
        <v>0.65300000000000002</v>
      </c>
      <c r="S5" s="5">
        <v>0.91</v>
      </c>
      <c r="T5" s="5">
        <v>0.91900000000000004</v>
      </c>
      <c r="U5" s="5">
        <v>0.61299999999999999</v>
      </c>
      <c r="V5" s="5">
        <v>0.82599999999999996</v>
      </c>
      <c r="W5" s="5">
        <v>0.995</v>
      </c>
      <c r="X5" s="5">
        <v>0.94499999999999995</v>
      </c>
      <c r="Y5" s="5">
        <v>0.93200000000000005</v>
      </c>
      <c r="Z5" s="5">
        <v>0.71899999999999997</v>
      </c>
      <c r="AA5" s="5">
        <v>0.56899999999999995</v>
      </c>
      <c r="AB5" s="5">
        <v>0.63700000000000001</v>
      </c>
      <c r="AC5" s="5">
        <v>0.14199999999999999</v>
      </c>
      <c r="AD5" s="5">
        <v>0.8</v>
      </c>
      <c r="AE5" s="5">
        <v>0.84299999999999997</v>
      </c>
      <c r="AF5" s="5">
        <v>0.38700000000000001</v>
      </c>
      <c r="AG5" s="5">
        <v>0.65900000000000003</v>
      </c>
      <c r="AH5" s="5">
        <v>0.26200000000000001</v>
      </c>
      <c r="AI5" s="5">
        <v>0.55900000000000005</v>
      </c>
      <c r="AJ5" s="5">
        <v>0.73699999999999999</v>
      </c>
      <c r="AK5" s="5">
        <v>0.187</v>
      </c>
      <c r="AL5" s="5">
        <v>0.38500000000000001</v>
      </c>
    </row>
    <row r="6" spans="1:39" ht="36.75" customHeight="1" x14ac:dyDescent="0.25">
      <c r="A6" s="152"/>
      <c r="B6" s="13" t="s">
        <v>3</v>
      </c>
      <c r="C6" s="17" t="s">
        <v>93</v>
      </c>
      <c r="D6" s="7">
        <v>0.65700000000000003</v>
      </c>
      <c r="E6" s="2">
        <v>0.40899999999999997</v>
      </c>
      <c r="F6" s="2">
        <v>0.38800000000000001</v>
      </c>
      <c r="G6" s="2">
        <v>0.39100000000000001</v>
      </c>
      <c r="H6" s="2">
        <v>0.505</v>
      </c>
      <c r="I6" s="2">
        <v>0.53200000000000003</v>
      </c>
      <c r="J6" s="2">
        <v>0.374</v>
      </c>
      <c r="K6" s="2">
        <v>0.45100000000000001</v>
      </c>
      <c r="L6" s="2">
        <v>0.73399999999999999</v>
      </c>
      <c r="M6" s="2">
        <v>0.46899999999999997</v>
      </c>
      <c r="N6" s="2">
        <v>0.28399999999999997</v>
      </c>
      <c r="O6" s="2">
        <v>0.45700000000000002</v>
      </c>
      <c r="P6" s="2">
        <v>0.46500000000000002</v>
      </c>
      <c r="Q6" s="2">
        <v>0.57499999999999996</v>
      </c>
      <c r="R6" s="2">
        <v>0.35899999999999999</v>
      </c>
      <c r="S6" s="2">
        <v>0.45500000000000002</v>
      </c>
      <c r="T6" s="2">
        <v>0.44600000000000001</v>
      </c>
      <c r="U6" s="2">
        <v>0.15</v>
      </c>
      <c r="V6" s="2">
        <v>0.34499999999999997</v>
      </c>
      <c r="W6" s="2">
        <v>0.77500000000000002</v>
      </c>
      <c r="X6" s="2">
        <v>0.61699999999999999</v>
      </c>
      <c r="Y6" s="2">
        <v>0.67800000000000005</v>
      </c>
      <c r="Z6" s="2">
        <v>0.39800000000000002</v>
      </c>
      <c r="AA6" s="2">
        <v>0.57699999999999996</v>
      </c>
      <c r="AB6" s="2">
        <v>0.28399999999999997</v>
      </c>
      <c r="AC6" s="2">
        <v>0.81499999999999995</v>
      </c>
      <c r="AD6" s="2">
        <v>0.59199999999999997</v>
      </c>
      <c r="AE6" s="2">
        <v>0.52400000000000002</v>
      </c>
      <c r="AF6" s="2">
        <v>0.10299999999999999</v>
      </c>
      <c r="AG6" s="2">
        <v>0.35499999999999998</v>
      </c>
      <c r="AH6" s="2">
        <v>0.248</v>
      </c>
      <c r="AI6" s="2">
        <v>0.21099999999999999</v>
      </c>
      <c r="AJ6" s="2">
        <v>0.22500000000000001</v>
      </c>
      <c r="AK6" s="2">
        <v>0.36799999999999999</v>
      </c>
      <c r="AL6" s="2">
        <v>0.188</v>
      </c>
    </row>
    <row r="7" spans="1:39" ht="36.75" customHeight="1" x14ac:dyDescent="0.25">
      <c r="A7" s="152"/>
      <c r="B7" s="13" t="s">
        <v>4</v>
      </c>
      <c r="C7" s="17" t="s">
        <v>94</v>
      </c>
      <c r="D7" s="7">
        <v>0.88400000000000001</v>
      </c>
      <c r="E7" s="2">
        <v>0.57999999999999996</v>
      </c>
      <c r="F7" s="2">
        <v>0.747</v>
      </c>
      <c r="G7" s="2">
        <v>0.48899999999999999</v>
      </c>
      <c r="H7" s="2">
        <v>0.58099999999999996</v>
      </c>
      <c r="I7" s="2">
        <v>0.378</v>
      </c>
      <c r="J7" s="2">
        <v>0.89400000000000002</v>
      </c>
      <c r="K7" s="2">
        <v>0.76500000000000001</v>
      </c>
      <c r="L7" s="2">
        <v>0.875</v>
      </c>
      <c r="M7" s="2">
        <v>0.73599999999999999</v>
      </c>
      <c r="N7" s="2">
        <v>0.78400000000000003</v>
      </c>
      <c r="O7" s="2">
        <v>0.61099999999999999</v>
      </c>
      <c r="P7" s="2">
        <v>0.57599999999999996</v>
      </c>
      <c r="Q7" s="2">
        <v>0.40600000000000003</v>
      </c>
      <c r="R7" s="2">
        <v>0.61299999999999999</v>
      </c>
      <c r="S7" s="2">
        <v>0.627</v>
      </c>
      <c r="T7" s="2">
        <v>0.67100000000000004</v>
      </c>
      <c r="U7" s="2">
        <v>0.55800000000000005</v>
      </c>
      <c r="V7" s="2">
        <v>0.752</v>
      </c>
      <c r="W7" s="2">
        <v>0.94799999999999995</v>
      </c>
      <c r="X7" s="2">
        <v>0.74299999999999999</v>
      </c>
      <c r="Y7" s="2">
        <v>0.995</v>
      </c>
      <c r="Z7" s="2">
        <v>0.40300000000000002</v>
      </c>
      <c r="AA7" s="2">
        <v>0.36299999999999999</v>
      </c>
      <c r="AB7" s="2">
        <v>0.13200000000000001</v>
      </c>
      <c r="AC7" s="2">
        <v>0.39800000000000002</v>
      </c>
      <c r="AD7" s="2">
        <v>0.56399999999999995</v>
      </c>
      <c r="AE7" s="2">
        <v>0.46400000000000002</v>
      </c>
      <c r="AF7" s="2">
        <v>0.34</v>
      </c>
      <c r="AG7" s="2">
        <v>0.182</v>
      </c>
      <c r="AH7" s="2">
        <v>0.10199999999999999</v>
      </c>
      <c r="AI7" s="2">
        <v>9.5000000000000001E-2</v>
      </c>
      <c r="AJ7" s="2">
        <v>0.318</v>
      </c>
      <c r="AK7" s="2">
        <v>0.13200000000000001</v>
      </c>
      <c r="AL7" s="2">
        <v>0.21199999999999999</v>
      </c>
    </row>
    <row r="8" spans="1:39" ht="36.75" customHeight="1" thickBot="1" x14ac:dyDescent="0.3">
      <c r="A8" s="153"/>
      <c r="B8" s="23" t="s">
        <v>5</v>
      </c>
      <c r="C8" s="17" t="s">
        <v>93</v>
      </c>
      <c r="D8" s="7">
        <f>6.4%+35.9%*0.75+28.8%*0.5+16.5%*0.25</f>
        <v>0.51849999999999996</v>
      </c>
      <c r="E8" s="2">
        <f>30.3%*0.75+34%*0.5+16.3%*0.25</f>
        <v>0.438</v>
      </c>
      <c r="F8" s="2">
        <f>21%*0.75+45%*0.5+17%*0.25</f>
        <v>0.42499999999999999</v>
      </c>
      <c r="G8" s="2">
        <f>27.4%*0.75+34.6%*0.5+18.9%*0.25</f>
        <v>0.42574999999999996</v>
      </c>
      <c r="H8" s="2">
        <f>6.7%+33.1%*0.75+33.8%*0.5+14.2%*0.25</f>
        <v>0.51975000000000005</v>
      </c>
      <c r="I8" s="2">
        <f>43%*0.75+34.2%*0.5</f>
        <v>0.49350000000000005</v>
      </c>
      <c r="J8" s="2">
        <f>34.2%*0.75+26.3%*0.5+13.5%*0.25</f>
        <v>0.42175000000000001</v>
      </c>
      <c r="K8" s="2">
        <f>22.2%*0.75+38.2%*0.5+13.8%*0.25</f>
        <v>0.39200000000000002</v>
      </c>
      <c r="L8" s="2">
        <f>18.9%*0.75+40.2%*0.5+18.3%*0.25</f>
        <v>0.38850000000000001</v>
      </c>
      <c r="M8" s="2">
        <f>26.6%*0.75+37.6%*0.5+13.7%*0.25</f>
        <v>0.42175000000000001</v>
      </c>
      <c r="N8" s="2">
        <f>32.6%*0.75+35.2%*0.5+13.3%*0.25</f>
        <v>0.45374999999999999</v>
      </c>
      <c r="O8" s="2">
        <f>30.1%*0.75+36.8%*0.5+15.9%*0.25</f>
        <v>0.44950000000000001</v>
      </c>
      <c r="P8" s="2">
        <f>34.2%*0.75+40.2%*0.5+8%*0.25</f>
        <v>0.47750000000000004</v>
      </c>
      <c r="Q8" s="2">
        <f>31.3%*0.75+41.1%*0.5+14%*0.25</f>
        <v>0.47525000000000006</v>
      </c>
      <c r="R8" s="2">
        <f>50.2%*0.75+29.4%*0.5+11.3%*0.25</f>
        <v>0.55174999999999996</v>
      </c>
      <c r="S8" s="2">
        <f>45.1%*0.75+27.5%*0.5+14.6%*0.25</f>
        <v>0.51224999999999998</v>
      </c>
      <c r="T8" s="2">
        <f>3.7%+28.8%*0.75+35.9%*0.5+17.6%*0.25</f>
        <v>0.47649999999999998</v>
      </c>
      <c r="U8" s="2">
        <f>67.9%*0.75+18.3%*0.5+6.9%*0.25</f>
        <v>0.61799999999999999</v>
      </c>
      <c r="V8" s="2">
        <f>37%*0.75+36.1%*0.5+12%*0.25</f>
        <v>0.48799999999999999</v>
      </c>
      <c r="W8" s="2">
        <f>43.9%*0.75+35.8%*0.5+13%*0.25</f>
        <v>0.54074999999999995</v>
      </c>
      <c r="X8" s="2">
        <f>4.2%+43%*0.75+34.8%*0.5+9.5%*0.25</f>
        <v>0.56225000000000003</v>
      </c>
      <c r="Y8" s="2">
        <f>4.9%+48.4%*0.75+25.5%*0.5+12.8%*0.25</f>
        <v>0.57150000000000001</v>
      </c>
      <c r="Z8" s="2">
        <f>36.2%*0.75+38.6%*0.5+17.1%*0.25</f>
        <v>0.50724999999999998</v>
      </c>
      <c r="AA8" s="2">
        <f>8.9%+49.8%*0.75+26.2%*0.5+7.6%*0.25</f>
        <v>0.61250000000000004</v>
      </c>
      <c r="AB8" s="2">
        <f>27.1%*0.75+32.1%*0.5+19.4%*0.25</f>
        <v>0.41225000000000001</v>
      </c>
      <c r="AC8" s="2">
        <f>51.3%*0.75+30%*0.5</f>
        <v>0.53475000000000006</v>
      </c>
      <c r="AD8" s="2">
        <f>10.8%+44.1%*0.75+29.2%*0.5+9.8%*0.25</f>
        <v>0.60924999999999996</v>
      </c>
      <c r="AE8" s="2">
        <f>32.5%*0.75+43.8%*0.5+13.7%*0.25</f>
        <v>0.497</v>
      </c>
      <c r="AF8" s="2">
        <f>31.6%*0.75+38.6%*0.5</f>
        <v>0.43</v>
      </c>
      <c r="AG8" s="2">
        <f>6.6%+48.4%*0.75+30.3%*0.5+9.3%*0.25</f>
        <v>0.60375000000000001</v>
      </c>
      <c r="AH8" s="2">
        <f>25.2%*0.75+42.7%*0.5+18.4%*0.25</f>
        <v>0.44850000000000001</v>
      </c>
      <c r="AI8" s="2">
        <f>34.7%*0.75+28.3%*0.5+13.7%*0.25</f>
        <v>0.43600000000000005</v>
      </c>
      <c r="AJ8" s="2">
        <f>3.9%+19.1%*0.75+30.8%*0.5+21.9%*0.25</f>
        <v>0.39100000000000001</v>
      </c>
      <c r="AK8" s="2">
        <f>36.2%*0.75+27.7%*0.5+18.1%*0.25</f>
        <v>0.45525000000000004</v>
      </c>
      <c r="AL8" s="2">
        <f>35.1%*0.75+35.7%*0.5</f>
        <v>0.44175000000000009</v>
      </c>
    </row>
    <row r="9" spans="1:39" ht="36.75" customHeight="1" x14ac:dyDescent="0.25">
      <c r="A9" s="155" t="s">
        <v>6</v>
      </c>
      <c r="B9" s="17" t="s">
        <v>7</v>
      </c>
      <c r="C9" s="22" t="s">
        <v>94</v>
      </c>
      <c r="D9" s="7">
        <v>0.78</v>
      </c>
      <c r="E9" s="2">
        <v>0.56000000000000005</v>
      </c>
      <c r="F9" s="2">
        <v>0.33300000000000002</v>
      </c>
      <c r="G9" s="2">
        <v>0.21299999999999999</v>
      </c>
      <c r="H9" s="2">
        <v>0.28799999999999998</v>
      </c>
      <c r="I9" s="2">
        <v>0.22700000000000001</v>
      </c>
      <c r="J9" s="2">
        <v>0.76100000000000001</v>
      </c>
      <c r="K9" s="2">
        <v>0.73199999999999998</v>
      </c>
      <c r="L9" s="2">
        <v>0.71199999999999997</v>
      </c>
      <c r="M9" s="2">
        <v>0.68500000000000005</v>
      </c>
      <c r="N9" s="2">
        <v>0.71699999999999997</v>
      </c>
      <c r="O9" s="2">
        <v>0.501</v>
      </c>
      <c r="P9" s="2">
        <v>0.623</v>
      </c>
      <c r="Q9" s="2">
        <v>0.39300000000000002</v>
      </c>
      <c r="R9" s="2">
        <v>0.68400000000000005</v>
      </c>
      <c r="S9" s="2">
        <v>0.629</v>
      </c>
      <c r="T9" s="2">
        <v>0.45500000000000002</v>
      </c>
      <c r="U9" s="2">
        <v>0.47399999999999998</v>
      </c>
      <c r="V9" s="2">
        <v>0.69</v>
      </c>
      <c r="W9" s="2">
        <v>0.873</v>
      </c>
      <c r="X9" s="2">
        <v>0.71299999999999997</v>
      </c>
      <c r="Y9" s="2">
        <v>0.94699999999999995</v>
      </c>
      <c r="Z9" s="2">
        <v>0.32800000000000001</v>
      </c>
      <c r="AA9" s="2">
        <v>0.70699999999999996</v>
      </c>
      <c r="AB9" s="2">
        <v>0.13600000000000001</v>
      </c>
      <c r="AC9" s="2">
        <v>0.161</v>
      </c>
      <c r="AD9" s="2">
        <v>0.59099999999999997</v>
      </c>
      <c r="AE9" s="2">
        <v>0.41099999999999998</v>
      </c>
      <c r="AF9" s="2">
        <v>0.32700000000000001</v>
      </c>
      <c r="AG9" s="2">
        <v>0.23400000000000001</v>
      </c>
      <c r="AH9" s="2">
        <v>3.2000000000000001E-2</v>
      </c>
      <c r="AI9" s="2">
        <v>0.1</v>
      </c>
      <c r="AJ9" s="2">
        <v>0.253</v>
      </c>
      <c r="AK9" s="2">
        <v>0.20599999999999999</v>
      </c>
      <c r="AL9" s="2">
        <v>0.14299999999999999</v>
      </c>
    </row>
    <row r="10" spans="1:39" ht="36.75" hidden="1" customHeight="1" x14ac:dyDescent="0.25">
      <c r="A10" s="156"/>
      <c r="B10" s="28" t="s">
        <v>8</v>
      </c>
      <c r="C10" s="21" t="s">
        <v>86</v>
      </c>
      <c r="D10" s="7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2.5999999999999999E-2</v>
      </c>
      <c r="M10" s="2">
        <v>0</v>
      </c>
      <c r="N10" s="2">
        <v>0</v>
      </c>
      <c r="O10" s="2">
        <v>0</v>
      </c>
      <c r="P10" s="2">
        <v>0</v>
      </c>
      <c r="Q10" s="2">
        <v>2.5000000000000001E-2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0.157</v>
      </c>
      <c r="AC10" s="2">
        <v>0</v>
      </c>
      <c r="AD10" s="2">
        <v>0</v>
      </c>
      <c r="AE10" s="2">
        <v>0</v>
      </c>
      <c r="AF10" s="2">
        <v>0.13300000000000001</v>
      </c>
      <c r="AG10" s="2">
        <v>0</v>
      </c>
      <c r="AH10" s="2">
        <v>0</v>
      </c>
      <c r="AI10" s="2">
        <v>4.9000000000000002E-2</v>
      </c>
      <c r="AJ10" s="2">
        <v>3.7999999999999999E-2</v>
      </c>
      <c r="AK10" s="2">
        <v>6.4000000000000001E-2</v>
      </c>
      <c r="AL10" s="2">
        <v>0</v>
      </c>
    </row>
    <row r="11" spans="1:39" ht="36.75" customHeight="1" x14ac:dyDescent="0.25">
      <c r="A11" s="156"/>
      <c r="B11" s="24" t="s">
        <v>99</v>
      </c>
      <c r="C11" s="21" t="s">
        <v>87</v>
      </c>
      <c r="D11" s="7">
        <v>144.90600000000001</v>
      </c>
      <c r="E11" s="2">
        <v>39.110999999999997</v>
      </c>
      <c r="F11" s="2">
        <v>15.566000000000001</v>
      </c>
      <c r="G11" s="2">
        <v>6.2789999999999999</v>
      </c>
      <c r="H11" s="2">
        <v>11.356999999999999</v>
      </c>
      <c r="I11" s="2">
        <v>17.094999999999999</v>
      </c>
      <c r="J11" s="2">
        <v>29.408000000000001</v>
      </c>
      <c r="K11" s="2">
        <v>5.5270000000000001</v>
      </c>
      <c r="L11" s="2">
        <v>51.976999999999997</v>
      </c>
      <c r="M11" s="2">
        <v>27.199000000000002</v>
      </c>
      <c r="N11" s="2">
        <v>0</v>
      </c>
      <c r="O11" s="2">
        <v>23.506</v>
      </c>
      <c r="P11" s="2">
        <v>35.801000000000002</v>
      </c>
      <c r="Q11" s="2">
        <v>11.771000000000001</v>
      </c>
      <c r="R11" s="2">
        <v>28.667999999999999</v>
      </c>
      <c r="S11" s="2">
        <v>59.463999999999999</v>
      </c>
      <c r="T11" s="2">
        <v>1.19</v>
      </c>
      <c r="U11" s="2">
        <v>33.906999999999996</v>
      </c>
      <c r="V11" s="2">
        <v>1.371</v>
      </c>
      <c r="W11" s="2">
        <v>25.065000000000001</v>
      </c>
      <c r="X11" s="2">
        <v>22.867999999999999</v>
      </c>
      <c r="Y11" s="2">
        <v>12.090999999999999</v>
      </c>
      <c r="Z11" s="2">
        <v>0.61699999999999999</v>
      </c>
      <c r="AA11" s="2">
        <v>51.034999999999997</v>
      </c>
      <c r="AB11" s="2">
        <v>1.9690000000000001</v>
      </c>
      <c r="AC11" s="2">
        <v>22.024999999999999</v>
      </c>
      <c r="AD11" s="2">
        <v>26.111000000000001</v>
      </c>
      <c r="AE11" s="2">
        <v>9.1310000000000002</v>
      </c>
      <c r="AF11" s="2">
        <v>5.2610000000000001</v>
      </c>
      <c r="AG11" s="2">
        <v>17.823</v>
      </c>
      <c r="AH11" s="2">
        <v>2.5129999999999999</v>
      </c>
      <c r="AI11" s="2">
        <v>0</v>
      </c>
      <c r="AJ11" s="2">
        <v>2.5550000000000002</v>
      </c>
      <c r="AK11" s="2">
        <v>1.47</v>
      </c>
      <c r="AL11" s="2">
        <v>0</v>
      </c>
    </row>
    <row r="12" spans="1:39" ht="36.75" customHeight="1" x14ac:dyDescent="0.25">
      <c r="A12" s="156"/>
      <c r="B12" s="24" t="s">
        <v>100</v>
      </c>
      <c r="C12" s="21" t="s">
        <v>87</v>
      </c>
      <c r="D12" s="2">
        <f>D11/D3</f>
        <v>0.3314399405451669</v>
      </c>
      <c r="E12" s="2">
        <f t="shared" ref="E12:AL12" si="0">E11/E3</f>
        <v>0.14167910282362611</v>
      </c>
      <c r="F12" s="2">
        <f t="shared" si="0"/>
        <v>0.2469047180851906</v>
      </c>
      <c r="G12" s="2">
        <f t="shared" si="0"/>
        <v>1.3354358899065576E-2</v>
      </c>
      <c r="H12" s="2">
        <f t="shared" si="0"/>
        <v>5.8684476491677358E-2</v>
      </c>
      <c r="I12" s="2">
        <f t="shared" si="0"/>
        <v>1.1325580608435413E-2</v>
      </c>
      <c r="J12" s="2">
        <f t="shared" si="0"/>
        <v>3.537975400959293E-2</v>
      </c>
      <c r="K12" s="2">
        <f t="shared" si="0"/>
        <v>1.0951471708581841</v>
      </c>
      <c r="L12" s="2">
        <f t="shared" si="0"/>
        <v>0.26979043346428611</v>
      </c>
      <c r="M12" s="2">
        <f t="shared" si="0"/>
        <v>1.0783262530960431</v>
      </c>
      <c r="N12" s="2">
        <f t="shared" si="0"/>
        <v>0</v>
      </c>
      <c r="O12" s="2">
        <f t="shared" si="0"/>
        <v>0.23507813225806765</v>
      </c>
      <c r="P12" s="2">
        <f t="shared" si="0"/>
        <v>0.27207902763981395</v>
      </c>
      <c r="Q12" s="2">
        <f t="shared" si="0"/>
        <v>4.4806883952326182E-2</v>
      </c>
      <c r="R12" s="2">
        <f t="shared" si="0"/>
        <v>0.30790587660959023</v>
      </c>
      <c r="S12" s="2">
        <f t="shared" si="0"/>
        <v>0.78191969559964081</v>
      </c>
      <c r="T12" s="2">
        <f>T11/T3</f>
        <v>6.6924936746303759E-2</v>
      </c>
      <c r="U12" s="2">
        <f t="shared" si="0"/>
        <v>0.44914860167575349</v>
      </c>
      <c r="V12" s="2">
        <f t="shared" si="0"/>
        <v>0.20766860949158544</v>
      </c>
      <c r="W12" s="2">
        <f t="shared" si="0"/>
        <v>2.7284412203368258</v>
      </c>
      <c r="X12" s="2">
        <f t="shared" si="0"/>
        <v>0.59448118049408727</v>
      </c>
      <c r="Y12" s="2">
        <f t="shared" si="0"/>
        <v>1.8695196882309739</v>
      </c>
      <c r="Z12" s="2">
        <f t="shared" si="0"/>
        <v>0.37865843268892824</v>
      </c>
      <c r="AA12" s="2">
        <f t="shared" si="0"/>
        <v>0.43101857935352639</v>
      </c>
      <c r="AB12" s="2">
        <f t="shared" si="0"/>
        <v>0.26656425508963461</v>
      </c>
      <c r="AC12" s="2">
        <f t="shared" si="0"/>
        <v>0.12144883232429873</v>
      </c>
      <c r="AD12" s="2">
        <f t="shared" si="0"/>
        <v>8.959687909249546E-2</v>
      </c>
      <c r="AE12" s="2">
        <f t="shared" si="0"/>
        <v>0.26619774535926344</v>
      </c>
      <c r="AF12" s="2">
        <f t="shared" si="0"/>
        <v>0.18109596468966715</v>
      </c>
      <c r="AG12" s="2">
        <f t="shared" si="0"/>
        <v>0.41566736336579452</v>
      </c>
      <c r="AH12" s="2">
        <f t="shared" si="0"/>
        <v>1.6278011751510987E-2</v>
      </c>
      <c r="AI12" s="2">
        <f t="shared" si="0"/>
        <v>0</v>
      </c>
      <c r="AJ12" s="2">
        <f t="shared" si="0"/>
        <v>0.19126402573067827</v>
      </c>
      <c r="AK12" s="2">
        <f t="shared" si="0"/>
        <v>6.6861287776675354E-2</v>
      </c>
      <c r="AL12" s="2">
        <f t="shared" si="0"/>
        <v>0</v>
      </c>
    </row>
    <row r="13" spans="1:39" ht="36.75" customHeight="1" x14ac:dyDescent="0.25">
      <c r="A13" s="156"/>
      <c r="B13" s="25" t="s">
        <v>102</v>
      </c>
      <c r="C13" s="21" t="s">
        <v>87</v>
      </c>
      <c r="D13" s="7">
        <f>D12/$W$12</f>
        <v>0.12147593214569991</v>
      </c>
      <c r="E13" s="7">
        <f t="shared" ref="E13:AL13" si="1">E12/$W$12</f>
        <v>5.1926756481906484E-2</v>
      </c>
      <c r="F13" s="7">
        <f t="shared" si="1"/>
        <v>9.0492958486644709E-2</v>
      </c>
      <c r="G13" s="7">
        <f t="shared" si="1"/>
        <v>4.8945012263877843E-3</v>
      </c>
      <c r="H13" s="7">
        <f t="shared" si="1"/>
        <v>2.1508426149797269E-2</v>
      </c>
      <c r="I13" s="7">
        <f t="shared" si="1"/>
        <v>4.1509344324585709E-3</v>
      </c>
      <c r="J13" s="7">
        <f t="shared" si="1"/>
        <v>1.2967020783106811E-2</v>
      </c>
      <c r="K13" s="7">
        <f t="shared" si="1"/>
        <v>0.4013819915544995</v>
      </c>
      <c r="L13" s="7">
        <f t="shared" si="1"/>
        <v>9.8880793712308929E-2</v>
      </c>
      <c r="M13" s="7">
        <f t="shared" si="1"/>
        <v>0.39521696309914417</v>
      </c>
      <c r="N13" s="7">
        <f t="shared" si="1"/>
        <v>0</v>
      </c>
      <c r="O13" s="7">
        <f t="shared" si="1"/>
        <v>8.6158400813577826E-2</v>
      </c>
      <c r="P13" s="7">
        <f t="shared" si="1"/>
        <v>9.9719585531780605E-2</v>
      </c>
      <c r="Q13" s="7">
        <f t="shared" si="1"/>
        <v>1.6422154752080302E-2</v>
      </c>
      <c r="R13" s="7">
        <f t="shared" si="1"/>
        <v>0.11285047092624531</v>
      </c>
      <c r="S13" s="7">
        <f t="shared" si="1"/>
        <v>0.2865811034415881</v>
      </c>
      <c r="T13" s="7">
        <f t="shared" si="1"/>
        <v>2.4528634242683769E-2</v>
      </c>
      <c r="U13" s="7">
        <f t="shared" si="1"/>
        <v>0.16461729075486778</v>
      </c>
      <c r="V13" s="7">
        <f t="shared" si="1"/>
        <v>7.6112546586562996E-2</v>
      </c>
      <c r="W13" s="7">
        <f t="shared" si="1"/>
        <v>1</v>
      </c>
      <c r="X13" s="7">
        <f t="shared" si="1"/>
        <v>0.21788308139572038</v>
      </c>
      <c r="Y13" s="7">
        <f t="shared" si="1"/>
        <v>0.6851969814472243</v>
      </c>
      <c r="Z13" s="7">
        <f t="shared" si="1"/>
        <v>0.138781964539512</v>
      </c>
      <c r="AA13" s="7">
        <f t="shared" si="1"/>
        <v>0.15797246286299588</v>
      </c>
      <c r="AB13" s="7">
        <f t="shared" si="1"/>
        <v>9.7698368248786124E-2</v>
      </c>
      <c r="AC13" s="7">
        <f t="shared" si="1"/>
        <v>4.4512167393991317E-2</v>
      </c>
      <c r="AD13" s="7">
        <f t="shared" si="1"/>
        <v>3.2838119591755303E-2</v>
      </c>
      <c r="AE13" s="7">
        <f t="shared" si="1"/>
        <v>9.756403890071759E-2</v>
      </c>
      <c r="AF13" s="7">
        <f t="shared" si="1"/>
        <v>6.6373416198172996E-2</v>
      </c>
      <c r="AG13" s="7">
        <f t="shared" si="1"/>
        <v>0.15234609427080875</v>
      </c>
      <c r="AH13" s="7">
        <f t="shared" si="1"/>
        <v>5.9660481707212547E-3</v>
      </c>
      <c r="AI13" s="7">
        <f t="shared" si="1"/>
        <v>0</v>
      </c>
      <c r="AJ13" s="7">
        <f t="shared" si="1"/>
        <v>7.010010855468117E-2</v>
      </c>
      <c r="AK13" s="7">
        <f t="shared" si="1"/>
        <v>2.4505306281958801E-2</v>
      </c>
      <c r="AL13" s="7">
        <f t="shared" si="1"/>
        <v>0</v>
      </c>
    </row>
    <row r="14" spans="1:39" ht="36.75" customHeight="1" x14ac:dyDescent="0.25">
      <c r="A14" s="156"/>
      <c r="B14" s="25" t="s">
        <v>101</v>
      </c>
      <c r="C14" s="21" t="s">
        <v>87</v>
      </c>
      <c r="D14" s="7">
        <f>LOG(D12+1,10)/LOG($W$12+1)</f>
        <v>0.21752518317138406</v>
      </c>
      <c r="E14" s="7">
        <f t="shared" ref="E14:AL14" si="2">LOG(E12+1,10)/LOG($W$12+1)</f>
        <v>0.10068469480250243</v>
      </c>
      <c r="F14" s="7">
        <f t="shared" si="2"/>
        <v>0.16767924842405893</v>
      </c>
      <c r="G14" s="7">
        <f t="shared" si="2"/>
        <v>1.0080603195760394E-2</v>
      </c>
      <c r="H14" s="7">
        <f t="shared" si="2"/>
        <v>4.3333966771313556E-2</v>
      </c>
      <c r="I14" s="7">
        <f t="shared" si="2"/>
        <v>8.5577582692301039E-3</v>
      </c>
      <c r="J14" s="7">
        <f t="shared" si="2"/>
        <v>2.6419855082745719E-2</v>
      </c>
      <c r="K14" s="7">
        <f t="shared" si="2"/>
        <v>0.5620283307634818</v>
      </c>
      <c r="L14" s="7">
        <f t="shared" si="2"/>
        <v>0.18149973004744235</v>
      </c>
      <c r="M14" s="7">
        <f t="shared" si="2"/>
        <v>0.55590296942307071</v>
      </c>
      <c r="N14" s="7">
        <f t="shared" si="2"/>
        <v>0</v>
      </c>
      <c r="O14" s="7">
        <f t="shared" si="2"/>
        <v>0.16043753682963491</v>
      </c>
      <c r="P14" s="7">
        <f t="shared" si="2"/>
        <v>0.18286806678950168</v>
      </c>
      <c r="Q14" s="7">
        <f t="shared" si="2"/>
        <v>3.3307289723088281E-2</v>
      </c>
      <c r="R14" s="7">
        <f t="shared" si="2"/>
        <v>0.2039736176710796</v>
      </c>
      <c r="S14" s="7">
        <f t="shared" si="2"/>
        <v>0.43897837916786081</v>
      </c>
      <c r="T14" s="7">
        <f t="shared" si="2"/>
        <v>4.9225760128316344E-2</v>
      </c>
      <c r="U14" s="7">
        <f t="shared" si="2"/>
        <v>0.28189890823213637</v>
      </c>
      <c r="V14" s="7">
        <f t="shared" si="2"/>
        <v>0.14338383814175312</v>
      </c>
      <c r="W14" s="7">
        <f t="shared" si="2"/>
        <v>0.99999999999999978</v>
      </c>
      <c r="X14" s="7">
        <f t="shared" si="2"/>
        <v>0.35452269281401444</v>
      </c>
      <c r="Y14" s="7">
        <f t="shared" si="2"/>
        <v>0.80102771690314467</v>
      </c>
      <c r="Z14" s="7">
        <f t="shared" si="2"/>
        <v>0.24400703411596619</v>
      </c>
      <c r="AA14" s="7">
        <f t="shared" si="2"/>
        <v>0.27233217411383859</v>
      </c>
      <c r="AB14" s="7">
        <f t="shared" si="2"/>
        <v>0.17956662279437879</v>
      </c>
      <c r="AC14" s="7">
        <f t="shared" si="2"/>
        <v>8.7099011739399754E-2</v>
      </c>
      <c r="AD14" s="7">
        <f t="shared" si="2"/>
        <v>6.5203972903286542E-2</v>
      </c>
      <c r="AE14" s="7">
        <f t="shared" si="2"/>
        <v>0.17934670090561564</v>
      </c>
      <c r="AF14" s="7">
        <f t="shared" si="2"/>
        <v>0.12647722272741863</v>
      </c>
      <c r="AG14" s="7">
        <f t="shared" si="2"/>
        <v>0.26413649848041743</v>
      </c>
      <c r="AH14" s="7">
        <f t="shared" si="2"/>
        <v>1.2269806274071296E-2</v>
      </c>
      <c r="AI14" s="7">
        <f t="shared" si="2"/>
        <v>0</v>
      </c>
      <c r="AJ14" s="7">
        <f t="shared" si="2"/>
        <v>0.13299106951584511</v>
      </c>
      <c r="AK14" s="7">
        <f t="shared" si="2"/>
        <v>4.9180426780023587E-2</v>
      </c>
      <c r="AL14" s="7">
        <f t="shared" si="2"/>
        <v>0</v>
      </c>
    </row>
    <row r="15" spans="1:39" ht="36.75" customHeight="1" x14ac:dyDescent="0.25">
      <c r="A15" s="156"/>
      <c r="B15" s="24" t="s">
        <v>105</v>
      </c>
      <c r="C15" s="21" t="s">
        <v>88</v>
      </c>
      <c r="D15" s="7">
        <v>64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6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</row>
    <row r="16" spans="1:39" ht="36.75" customHeight="1" x14ac:dyDescent="0.25">
      <c r="A16" s="156"/>
      <c r="B16" s="25" t="s">
        <v>113</v>
      </c>
      <c r="C16" s="21" t="s">
        <v>88</v>
      </c>
      <c r="D16" s="7">
        <f>D15/$D$15</f>
        <v>1</v>
      </c>
      <c r="E16" s="7">
        <f t="shared" ref="E16:AL16" si="3">E15/$D$15</f>
        <v>0</v>
      </c>
      <c r="F16" s="7">
        <f t="shared" si="3"/>
        <v>0</v>
      </c>
      <c r="G16" s="7">
        <f t="shared" si="3"/>
        <v>0</v>
      </c>
      <c r="H16" s="7">
        <f t="shared" si="3"/>
        <v>0</v>
      </c>
      <c r="I16" s="7">
        <f t="shared" si="3"/>
        <v>0</v>
      </c>
      <c r="J16" s="7">
        <f t="shared" si="3"/>
        <v>0</v>
      </c>
      <c r="K16" s="7">
        <f t="shared" si="3"/>
        <v>0</v>
      </c>
      <c r="L16" s="7">
        <f t="shared" si="3"/>
        <v>0</v>
      </c>
      <c r="M16" s="7">
        <f t="shared" si="3"/>
        <v>0</v>
      </c>
      <c r="N16" s="7">
        <f t="shared" si="3"/>
        <v>0</v>
      </c>
      <c r="O16" s="7">
        <f t="shared" si="3"/>
        <v>0</v>
      </c>
      <c r="P16" s="7">
        <f t="shared" si="3"/>
        <v>0</v>
      </c>
      <c r="Q16" s="7">
        <f t="shared" si="3"/>
        <v>0</v>
      </c>
      <c r="R16" s="7">
        <f t="shared" si="3"/>
        <v>0</v>
      </c>
      <c r="S16" s="7">
        <f t="shared" si="3"/>
        <v>0</v>
      </c>
      <c r="T16" s="7">
        <f t="shared" si="3"/>
        <v>0</v>
      </c>
      <c r="U16" s="7">
        <f t="shared" si="3"/>
        <v>0</v>
      </c>
      <c r="V16" s="7">
        <f t="shared" si="3"/>
        <v>0</v>
      </c>
      <c r="W16" s="7">
        <f t="shared" si="3"/>
        <v>0</v>
      </c>
      <c r="X16" s="7">
        <f t="shared" si="3"/>
        <v>0</v>
      </c>
      <c r="Y16" s="7">
        <f t="shared" si="3"/>
        <v>9.375E-2</v>
      </c>
      <c r="Z16" s="7">
        <f t="shared" si="3"/>
        <v>0</v>
      </c>
      <c r="AA16" s="7">
        <f t="shared" si="3"/>
        <v>0</v>
      </c>
      <c r="AB16" s="7">
        <f t="shared" si="3"/>
        <v>0</v>
      </c>
      <c r="AC16" s="7">
        <f t="shared" si="3"/>
        <v>0</v>
      </c>
      <c r="AD16" s="7">
        <f t="shared" si="3"/>
        <v>0</v>
      </c>
      <c r="AE16" s="7">
        <f t="shared" si="3"/>
        <v>0</v>
      </c>
      <c r="AF16" s="7">
        <f t="shared" si="3"/>
        <v>0</v>
      </c>
      <c r="AG16" s="7">
        <f t="shared" si="3"/>
        <v>0</v>
      </c>
      <c r="AH16" s="7">
        <f t="shared" si="3"/>
        <v>0</v>
      </c>
      <c r="AI16" s="7">
        <f t="shared" si="3"/>
        <v>0</v>
      </c>
      <c r="AJ16" s="7">
        <f t="shared" si="3"/>
        <v>0</v>
      </c>
      <c r="AK16" s="7">
        <f t="shared" si="3"/>
        <v>0</v>
      </c>
      <c r="AL16" s="7">
        <f t="shared" si="3"/>
        <v>0</v>
      </c>
    </row>
    <row r="17" spans="1:38" ht="36.75" customHeight="1" thickBot="1" x14ac:dyDescent="0.3">
      <c r="A17" s="157"/>
      <c r="B17" s="25" t="s">
        <v>114</v>
      </c>
      <c r="C17" s="21" t="s">
        <v>88</v>
      </c>
      <c r="D17" s="7">
        <f>IF(D15&gt;0,LOG(D15+1,10)/LOG($D$15+1),0)</f>
        <v>0.99999999999999989</v>
      </c>
      <c r="E17" s="7">
        <f>IF(E15&gt;0,LOG(E15+1,10)/LOG($D$15+1),0)</f>
        <v>0</v>
      </c>
      <c r="F17" s="7">
        <f t="shared" ref="F17:AL17" si="4">IF(F15&gt;0,LOG(F15+1,10)/LOG($D$15+1),0)</f>
        <v>0</v>
      </c>
      <c r="G17" s="7">
        <f t="shared" si="4"/>
        <v>0</v>
      </c>
      <c r="H17" s="7">
        <f t="shared" si="4"/>
        <v>0</v>
      </c>
      <c r="I17" s="7">
        <f t="shared" si="4"/>
        <v>0</v>
      </c>
      <c r="J17" s="7">
        <f t="shared" si="4"/>
        <v>0</v>
      </c>
      <c r="K17" s="7">
        <f t="shared" si="4"/>
        <v>0</v>
      </c>
      <c r="L17" s="7">
        <f t="shared" si="4"/>
        <v>0</v>
      </c>
      <c r="M17" s="7">
        <f t="shared" si="4"/>
        <v>0</v>
      </c>
      <c r="N17" s="7">
        <f t="shared" si="4"/>
        <v>0</v>
      </c>
      <c r="O17" s="7">
        <f t="shared" si="4"/>
        <v>0</v>
      </c>
      <c r="P17" s="7">
        <f t="shared" si="4"/>
        <v>0</v>
      </c>
      <c r="Q17" s="7">
        <f t="shared" si="4"/>
        <v>0</v>
      </c>
      <c r="R17" s="7">
        <f t="shared" si="4"/>
        <v>0</v>
      </c>
      <c r="S17" s="7">
        <f t="shared" si="4"/>
        <v>0</v>
      </c>
      <c r="T17" s="7">
        <f t="shared" si="4"/>
        <v>0</v>
      </c>
      <c r="U17" s="7">
        <f t="shared" si="4"/>
        <v>0</v>
      </c>
      <c r="V17" s="7">
        <f t="shared" si="4"/>
        <v>0</v>
      </c>
      <c r="W17" s="7">
        <f t="shared" si="4"/>
        <v>0</v>
      </c>
      <c r="X17" s="7">
        <f t="shared" si="4"/>
        <v>0</v>
      </c>
      <c r="Y17" s="7">
        <f t="shared" si="4"/>
        <v>0.46615467690039269</v>
      </c>
      <c r="Z17" s="7">
        <f t="shared" si="4"/>
        <v>0</v>
      </c>
      <c r="AA17" s="7">
        <f t="shared" si="4"/>
        <v>0</v>
      </c>
      <c r="AB17" s="7">
        <f t="shared" si="4"/>
        <v>0</v>
      </c>
      <c r="AC17" s="7">
        <f t="shared" si="4"/>
        <v>0</v>
      </c>
      <c r="AD17" s="7">
        <f t="shared" si="4"/>
        <v>0</v>
      </c>
      <c r="AE17" s="7">
        <f t="shared" si="4"/>
        <v>0</v>
      </c>
      <c r="AF17" s="7">
        <f t="shared" si="4"/>
        <v>0</v>
      </c>
      <c r="AG17" s="7">
        <f t="shared" si="4"/>
        <v>0</v>
      </c>
      <c r="AH17" s="7">
        <f t="shared" si="4"/>
        <v>0</v>
      </c>
      <c r="AI17" s="7">
        <f t="shared" si="4"/>
        <v>0</v>
      </c>
      <c r="AJ17" s="7">
        <f t="shared" si="4"/>
        <v>0</v>
      </c>
      <c r="AK17" s="7">
        <f t="shared" si="4"/>
        <v>0</v>
      </c>
      <c r="AL17" s="7">
        <f t="shared" si="4"/>
        <v>0</v>
      </c>
    </row>
    <row r="18" spans="1:38" ht="36.75" customHeight="1" x14ac:dyDescent="0.25">
      <c r="A18" s="155" t="s">
        <v>9</v>
      </c>
      <c r="B18" s="24" t="s">
        <v>106</v>
      </c>
      <c r="C18" s="21" t="s">
        <v>86</v>
      </c>
      <c r="D18" s="7">
        <v>0.129</v>
      </c>
      <c r="E18" s="2">
        <v>0.31</v>
      </c>
      <c r="F18" s="2">
        <v>0.27500000000000002</v>
      </c>
      <c r="G18" s="2">
        <v>0.372</v>
      </c>
      <c r="H18" s="2">
        <v>0.27700000000000002</v>
      </c>
      <c r="I18" s="2">
        <v>0.38800000000000001</v>
      </c>
      <c r="J18" s="2">
        <v>0.48299999999999998</v>
      </c>
      <c r="K18" s="2">
        <v>0.29299999999999998</v>
      </c>
      <c r="L18" s="2">
        <v>0.36099999999999999</v>
      </c>
      <c r="M18" s="2">
        <v>0.159</v>
      </c>
      <c r="N18" s="2">
        <v>0.16200000000000001</v>
      </c>
      <c r="O18" s="2">
        <v>0.36899999999999999</v>
      </c>
      <c r="P18" s="2">
        <v>0.59599999999999997</v>
      </c>
      <c r="Q18" s="2">
        <v>0.53300000000000003</v>
      </c>
      <c r="R18" s="2">
        <v>0.52100000000000002</v>
      </c>
      <c r="S18" s="2">
        <v>0</v>
      </c>
      <c r="T18" s="2">
        <v>0.36799999999999999</v>
      </c>
      <c r="U18" s="2">
        <v>0.122</v>
      </c>
      <c r="V18" s="2">
        <v>0.31900000000000001</v>
      </c>
      <c r="W18" s="2">
        <v>5.8000000000000003E-2</v>
      </c>
      <c r="X18" s="2">
        <v>0.495</v>
      </c>
      <c r="Y18" s="2">
        <v>0.09</v>
      </c>
      <c r="Z18" s="2">
        <v>0.43</v>
      </c>
      <c r="AA18" s="2">
        <v>4.8000000000000001E-2</v>
      </c>
      <c r="AB18" s="2">
        <v>0.40200000000000002</v>
      </c>
      <c r="AC18" s="2">
        <v>0.378</v>
      </c>
      <c r="AD18" s="2">
        <v>0.13800000000000001</v>
      </c>
      <c r="AE18" s="2">
        <v>0.50600000000000001</v>
      </c>
      <c r="AF18" s="2">
        <v>0.23699999999999999</v>
      </c>
      <c r="AG18" s="2">
        <v>0.19</v>
      </c>
      <c r="AH18" s="2">
        <v>0.4</v>
      </c>
      <c r="AI18" s="2">
        <v>0.46</v>
      </c>
      <c r="AJ18" s="2">
        <v>0.223</v>
      </c>
      <c r="AK18" s="2">
        <v>0.56100000000000005</v>
      </c>
      <c r="AL18" s="2">
        <v>0.47099999999999997</v>
      </c>
    </row>
    <row r="19" spans="1:38" ht="36.75" customHeight="1" x14ac:dyDescent="0.25">
      <c r="A19" s="156"/>
      <c r="B19" s="24" t="s">
        <v>123</v>
      </c>
      <c r="C19" s="21" t="s">
        <v>86</v>
      </c>
      <c r="D19" s="7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6.5000000000000002E-2</v>
      </c>
      <c r="M19" s="2">
        <v>0</v>
      </c>
      <c r="N19" s="2">
        <v>0</v>
      </c>
      <c r="O19" s="2">
        <v>7.8E-2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0.17199999999999999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</row>
    <row r="20" spans="1:38" ht="36.75" customHeight="1" x14ac:dyDescent="0.25">
      <c r="A20" s="156"/>
      <c r="B20" s="25" t="s">
        <v>103</v>
      </c>
      <c r="C20" s="21" t="s">
        <v>86</v>
      </c>
      <c r="D20" s="7">
        <f>D18+D19</f>
        <v>0.129</v>
      </c>
      <c r="E20" s="7">
        <f t="shared" ref="E20:AL20" si="5">E18+E19</f>
        <v>0.31</v>
      </c>
      <c r="F20" s="7">
        <f t="shared" si="5"/>
        <v>0.27500000000000002</v>
      </c>
      <c r="G20" s="7">
        <f t="shared" si="5"/>
        <v>0.372</v>
      </c>
      <c r="H20" s="7">
        <f t="shared" si="5"/>
        <v>0.27700000000000002</v>
      </c>
      <c r="I20" s="7">
        <f t="shared" si="5"/>
        <v>0.38800000000000001</v>
      </c>
      <c r="J20" s="7">
        <f t="shared" si="5"/>
        <v>0.48299999999999998</v>
      </c>
      <c r="K20" s="7">
        <f t="shared" si="5"/>
        <v>0.29299999999999998</v>
      </c>
      <c r="L20" s="7">
        <f t="shared" si="5"/>
        <v>0.42599999999999999</v>
      </c>
      <c r="M20" s="7">
        <f t="shared" si="5"/>
        <v>0.159</v>
      </c>
      <c r="N20" s="7">
        <f t="shared" si="5"/>
        <v>0.16200000000000001</v>
      </c>
      <c r="O20" s="7">
        <f t="shared" si="5"/>
        <v>0.44700000000000001</v>
      </c>
      <c r="P20" s="7">
        <f t="shared" si="5"/>
        <v>0.59599999999999997</v>
      </c>
      <c r="Q20" s="7">
        <f t="shared" si="5"/>
        <v>0.53300000000000003</v>
      </c>
      <c r="R20" s="7">
        <f t="shared" si="5"/>
        <v>0.52100000000000002</v>
      </c>
      <c r="S20" s="7">
        <f t="shared" si="5"/>
        <v>0</v>
      </c>
      <c r="T20" s="7">
        <f t="shared" si="5"/>
        <v>0.36799999999999999</v>
      </c>
      <c r="U20" s="7">
        <f t="shared" si="5"/>
        <v>0.122</v>
      </c>
      <c r="V20" s="7">
        <f t="shared" si="5"/>
        <v>0.31900000000000001</v>
      </c>
      <c r="W20" s="7">
        <f t="shared" si="5"/>
        <v>0.22999999999999998</v>
      </c>
      <c r="X20" s="7">
        <f t="shared" si="5"/>
        <v>0.495</v>
      </c>
      <c r="Y20" s="7">
        <f t="shared" si="5"/>
        <v>0.09</v>
      </c>
      <c r="Z20" s="7">
        <f t="shared" si="5"/>
        <v>0.43</v>
      </c>
      <c r="AA20" s="7">
        <f t="shared" si="5"/>
        <v>4.8000000000000001E-2</v>
      </c>
      <c r="AB20" s="7">
        <f t="shared" si="5"/>
        <v>0.40200000000000002</v>
      </c>
      <c r="AC20" s="7">
        <f t="shared" si="5"/>
        <v>0.378</v>
      </c>
      <c r="AD20" s="7">
        <f t="shared" si="5"/>
        <v>0.13800000000000001</v>
      </c>
      <c r="AE20" s="7">
        <f t="shared" si="5"/>
        <v>0.50600000000000001</v>
      </c>
      <c r="AF20" s="7">
        <f t="shared" si="5"/>
        <v>0.23699999999999999</v>
      </c>
      <c r="AG20" s="7">
        <f t="shared" si="5"/>
        <v>0.19</v>
      </c>
      <c r="AH20" s="7">
        <f t="shared" si="5"/>
        <v>0.4</v>
      </c>
      <c r="AI20" s="7">
        <f t="shared" si="5"/>
        <v>0.46</v>
      </c>
      <c r="AJ20" s="7">
        <f t="shared" si="5"/>
        <v>0.223</v>
      </c>
      <c r="AK20" s="7">
        <f t="shared" si="5"/>
        <v>0.56100000000000005</v>
      </c>
      <c r="AL20" s="7">
        <f t="shared" si="5"/>
        <v>0.47099999999999997</v>
      </c>
    </row>
    <row r="21" spans="1:38" ht="36.75" customHeight="1" x14ac:dyDescent="0.25">
      <c r="A21" s="156"/>
      <c r="B21" s="24" t="s">
        <v>124</v>
      </c>
      <c r="C21" s="22" t="s">
        <v>89</v>
      </c>
      <c r="D21" s="7">
        <v>0.14499999999999999</v>
      </c>
      <c r="E21" s="2">
        <v>0.187</v>
      </c>
      <c r="F21" s="53">
        <v>0.24099999999999999</v>
      </c>
      <c r="G21" s="53">
        <v>0.218</v>
      </c>
      <c r="H21" s="53">
        <v>0.20699999999999999</v>
      </c>
      <c r="I21" s="53">
        <v>0.27</v>
      </c>
      <c r="J21" s="53">
        <f>0.356+0.161</f>
        <v>0.51700000000000002</v>
      </c>
      <c r="K21" s="53">
        <v>0.28599999999999998</v>
      </c>
      <c r="L21" s="53">
        <v>0.21299999999999999</v>
      </c>
      <c r="M21" s="53">
        <v>0.20599999999999999</v>
      </c>
      <c r="N21" s="53">
        <v>0.23</v>
      </c>
      <c r="O21" s="53">
        <v>0.27300000000000002</v>
      </c>
      <c r="P21" s="53">
        <v>0.26900000000000002</v>
      </c>
      <c r="Q21" s="53">
        <f>0.332+0.141</f>
        <v>0.47299999999999998</v>
      </c>
      <c r="R21" s="53">
        <v>0.26500000000000001</v>
      </c>
      <c r="S21" s="53">
        <v>0</v>
      </c>
      <c r="T21" s="53">
        <f>0.245+0.092</f>
        <v>0.33699999999999997</v>
      </c>
      <c r="U21" s="53">
        <v>0.15</v>
      </c>
      <c r="V21" s="53">
        <v>0.184</v>
      </c>
      <c r="W21" s="53">
        <v>0</v>
      </c>
      <c r="X21" s="53">
        <f>0.438+0.119</f>
        <v>0.55699999999999994</v>
      </c>
      <c r="Y21" s="53">
        <v>0</v>
      </c>
      <c r="Z21" s="53">
        <f>0.285+0.252</f>
        <v>0.53699999999999992</v>
      </c>
      <c r="AA21" s="53">
        <v>7.9000000000000001E-2</v>
      </c>
      <c r="AB21" s="53">
        <f>0.463+0.203</f>
        <v>0.66600000000000004</v>
      </c>
      <c r="AC21" s="53">
        <v>0.39600000000000002</v>
      </c>
      <c r="AD21" s="53">
        <v>0.157</v>
      </c>
      <c r="AE21" s="53">
        <f>0.439+0.218</f>
        <v>0.65700000000000003</v>
      </c>
      <c r="AF21" s="53">
        <f>0.305+0.295</f>
        <v>0.6</v>
      </c>
      <c r="AG21" s="53">
        <f>0.28+0.224</f>
        <v>0.504</v>
      </c>
      <c r="AH21" s="53">
        <f>0.421+0.284</f>
        <v>0.70499999999999996</v>
      </c>
      <c r="AI21" s="53">
        <v>0.30299999999999999</v>
      </c>
      <c r="AJ21" s="53">
        <f>0.217+0.092</f>
        <v>0.309</v>
      </c>
      <c r="AK21" s="53">
        <f>0.323+0.119</f>
        <v>0.442</v>
      </c>
      <c r="AL21" s="53">
        <f>0.384+0.187</f>
        <v>0.57099999999999995</v>
      </c>
    </row>
    <row r="22" spans="1:38" ht="36.75" customHeight="1" x14ac:dyDescent="0.25">
      <c r="A22" s="156"/>
      <c r="B22" s="24" t="s">
        <v>125</v>
      </c>
      <c r="C22" s="22" t="s">
        <v>89</v>
      </c>
      <c r="D22" s="7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0.12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</row>
    <row r="23" spans="1:38" ht="36.75" customHeight="1" x14ac:dyDescent="0.25">
      <c r="A23" s="156"/>
      <c r="B23" s="25" t="s">
        <v>104</v>
      </c>
      <c r="C23" s="22" t="s">
        <v>89</v>
      </c>
      <c r="D23" s="7">
        <f>D21+D22</f>
        <v>0.14499999999999999</v>
      </c>
      <c r="E23" s="7">
        <f t="shared" ref="E23:AL23" si="6">E21+E22</f>
        <v>0.187</v>
      </c>
      <c r="F23" s="7">
        <f t="shared" si="6"/>
        <v>0.24099999999999999</v>
      </c>
      <c r="G23" s="7">
        <f t="shared" si="6"/>
        <v>0.218</v>
      </c>
      <c r="H23" s="7">
        <f t="shared" si="6"/>
        <v>0.20699999999999999</v>
      </c>
      <c r="I23" s="7">
        <f t="shared" si="6"/>
        <v>0.27</v>
      </c>
      <c r="J23" s="7">
        <f t="shared" si="6"/>
        <v>0.51700000000000002</v>
      </c>
      <c r="K23" s="7">
        <f t="shared" si="6"/>
        <v>0.28599999999999998</v>
      </c>
      <c r="L23" s="7">
        <f t="shared" si="6"/>
        <v>0.21299999999999999</v>
      </c>
      <c r="M23" s="7">
        <f t="shared" si="6"/>
        <v>0.20599999999999999</v>
      </c>
      <c r="N23" s="7">
        <f t="shared" si="6"/>
        <v>0.23</v>
      </c>
      <c r="O23" s="7">
        <f t="shared" si="6"/>
        <v>0.27300000000000002</v>
      </c>
      <c r="P23" s="7">
        <f t="shared" si="6"/>
        <v>0.26900000000000002</v>
      </c>
      <c r="Q23" s="7">
        <f t="shared" si="6"/>
        <v>0.47299999999999998</v>
      </c>
      <c r="R23" s="7">
        <f t="shared" si="6"/>
        <v>0.26500000000000001</v>
      </c>
      <c r="S23" s="7">
        <f t="shared" si="6"/>
        <v>0</v>
      </c>
      <c r="T23" s="7">
        <f t="shared" si="6"/>
        <v>0.33699999999999997</v>
      </c>
      <c r="U23" s="7">
        <f t="shared" si="6"/>
        <v>0.15</v>
      </c>
      <c r="V23" s="7">
        <f t="shared" si="6"/>
        <v>0.184</v>
      </c>
      <c r="W23" s="7">
        <f t="shared" si="6"/>
        <v>0.12</v>
      </c>
      <c r="X23" s="7">
        <f t="shared" si="6"/>
        <v>0.55699999999999994</v>
      </c>
      <c r="Y23" s="7">
        <f t="shared" si="6"/>
        <v>0</v>
      </c>
      <c r="Z23" s="7">
        <f t="shared" si="6"/>
        <v>0.53699999999999992</v>
      </c>
      <c r="AA23" s="7">
        <f t="shared" si="6"/>
        <v>7.9000000000000001E-2</v>
      </c>
      <c r="AB23" s="7">
        <f t="shared" si="6"/>
        <v>0.66600000000000004</v>
      </c>
      <c r="AC23" s="7">
        <f t="shared" si="6"/>
        <v>0.39600000000000002</v>
      </c>
      <c r="AD23" s="7">
        <f t="shared" si="6"/>
        <v>0.157</v>
      </c>
      <c r="AE23" s="7">
        <f t="shared" si="6"/>
        <v>0.65700000000000003</v>
      </c>
      <c r="AF23" s="7">
        <f t="shared" si="6"/>
        <v>0.6</v>
      </c>
      <c r="AG23" s="7">
        <f t="shared" si="6"/>
        <v>0.504</v>
      </c>
      <c r="AH23" s="7">
        <f t="shared" si="6"/>
        <v>0.70499999999999996</v>
      </c>
      <c r="AI23" s="7">
        <f t="shared" si="6"/>
        <v>0.30299999999999999</v>
      </c>
      <c r="AJ23" s="7">
        <f t="shared" si="6"/>
        <v>0.309</v>
      </c>
      <c r="AK23" s="7">
        <f t="shared" si="6"/>
        <v>0.442</v>
      </c>
      <c r="AL23" s="7">
        <f t="shared" si="6"/>
        <v>0.57099999999999995</v>
      </c>
    </row>
    <row r="24" spans="1:38" ht="36.75" customHeight="1" x14ac:dyDescent="0.25">
      <c r="A24" s="156"/>
      <c r="B24" s="24" t="s">
        <v>109</v>
      </c>
      <c r="C24" s="22" t="s">
        <v>108</v>
      </c>
      <c r="D24" s="2">
        <v>562</v>
      </c>
      <c r="E24" s="2">
        <v>260</v>
      </c>
      <c r="F24" s="2">
        <v>296</v>
      </c>
      <c r="G24" s="2">
        <v>220</v>
      </c>
      <c r="H24" s="2">
        <v>185</v>
      </c>
      <c r="I24" s="2">
        <v>440</v>
      </c>
      <c r="J24" s="2">
        <v>219</v>
      </c>
      <c r="K24" s="2">
        <v>57</v>
      </c>
      <c r="L24" s="2">
        <v>507</v>
      </c>
      <c r="M24" s="2">
        <v>132</v>
      </c>
      <c r="N24" s="2">
        <v>38</v>
      </c>
      <c r="O24" s="2">
        <v>307</v>
      </c>
      <c r="P24" s="2">
        <v>253</v>
      </c>
      <c r="Q24" s="2">
        <v>144</v>
      </c>
      <c r="R24" s="2">
        <v>176</v>
      </c>
      <c r="S24" s="2">
        <v>161</v>
      </c>
      <c r="T24" s="2">
        <v>33</v>
      </c>
      <c r="U24" s="2">
        <v>110</v>
      </c>
      <c r="V24" s="2">
        <v>31</v>
      </c>
      <c r="W24" s="2">
        <v>41</v>
      </c>
      <c r="X24" s="2">
        <v>122</v>
      </c>
      <c r="Y24" s="2">
        <v>64</v>
      </c>
      <c r="Z24" s="2">
        <v>16</v>
      </c>
      <c r="AA24" s="2">
        <v>141</v>
      </c>
      <c r="AB24" s="2">
        <v>51</v>
      </c>
      <c r="AC24" s="2">
        <v>173</v>
      </c>
      <c r="AD24" s="2">
        <v>146</v>
      </c>
      <c r="AE24" s="2">
        <v>35</v>
      </c>
      <c r="AF24" s="2">
        <v>144</v>
      </c>
      <c r="AG24" s="2">
        <v>161</v>
      </c>
      <c r="AH24" s="2">
        <v>52</v>
      </c>
      <c r="AI24" s="2">
        <v>65</v>
      </c>
      <c r="AJ24" s="2">
        <v>73</v>
      </c>
      <c r="AK24" s="2">
        <v>30</v>
      </c>
      <c r="AL24" s="2">
        <v>11</v>
      </c>
    </row>
    <row r="25" spans="1:38" ht="36.75" customHeight="1" x14ac:dyDescent="0.25">
      <c r="A25" s="156"/>
      <c r="B25" s="24" t="s">
        <v>118</v>
      </c>
      <c r="C25" s="22" t="s">
        <v>108</v>
      </c>
      <c r="D25" s="7">
        <f>D24/D3</f>
        <v>1.2854488191405724</v>
      </c>
      <c r="E25" s="7">
        <f>E24/E3</f>
        <v>0.94184671151703592</v>
      </c>
      <c r="F25" s="7">
        <f t="shared" ref="F25:AL25" si="7">F24/F3</f>
        <v>4.6950916454591045</v>
      </c>
      <c r="G25" s="7">
        <f t="shared" si="7"/>
        <v>0.46790236626762649</v>
      </c>
      <c r="H25" s="7">
        <f t="shared" si="7"/>
        <v>0.95594154714804191</v>
      </c>
      <c r="I25" s="7">
        <f t="shared" si="7"/>
        <v>0.29150368339933208</v>
      </c>
      <c r="J25" s="7">
        <f t="shared" si="7"/>
        <v>0.26347137269113341</v>
      </c>
      <c r="K25" s="7">
        <f t="shared" si="7"/>
        <v>11.294262482163289</v>
      </c>
      <c r="L25" s="7">
        <f t="shared" si="7"/>
        <v>2.6316207123611033</v>
      </c>
      <c r="M25" s="7">
        <f t="shared" si="7"/>
        <v>5.2332462740791081</v>
      </c>
      <c r="N25" s="7">
        <f t="shared" si="7"/>
        <v>11.907882277271931</v>
      </c>
      <c r="O25" s="7">
        <f t="shared" si="7"/>
        <v>3.0702368162693254</v>
      </c>
      <c r="P25" s="7">
        <f t="shared" si="7"/>
        <v>1.9227394204874984</v>
      </c>
      <c r="Q25" s="7">
        <f t="shared" si="7"/>
        <v>0.5481430030698301</v>
      </c>
      <c r="R25" s="7">
        <f t="shared" si="7"/>
        <v>1.8903109489077676</v>
      </c>
      <c r="S25" s="7">
        <f t="shared" si="7"/>
        <v>2.1170636181814575</v>
      </c>
      <c r="T25" s="7">
        <f t="shared" si="7"/>
        <v>1.8559016072504406</v>
      </c>
      <c r="U25" s="7">
        <f t="shared" si="7"/>
        <v>1.4571134628346032</v>
      </c>
      <c r="V25" s="7">
        <f t="shared" si="7"/>
        <v>4.6956432488979933</v>
      </c>
      <c r="W25" s="7">
        <f t="shared" si="7"/>
        <v>4.4630396981372371</v>
      </c>
      <c r="X25" s="7">
        <f t="shared" si="7"/>
        <v>3.1715368208972645</v>
      </c>
      <c r="Y25" s="7">
        <f t="shared" si="7"/>
        <v>9.8957290585379489</v>
      </c>
      <c r="Z25" s="7">
        <f t="shared" si="7"/>
        <v>9.8193434732947367</v>
      </c>
      <c r="AA25" s="7">
        <f t="shared" si="7"/>
        <v>1.1908223707033843</v>
      </c>
      <c r="AB25" s="7">
        <f t="shared" si="7"/>
        <v>6.9044068103460452</v>
      </c>
      <c r="AC25" s="7">
        <f t="shared" si="7"/>
        <v>0.95394542529415127</v>
      </c>
      <c r="AD25" s="7">
        <f t="shared" si="7"/>
        <v>0.50098212812624321</v>
      </c>
      <c r="AE25" s="7">
        <f t="shared" si="7"/>
        <v>1.0203615253065623</v>
      </c>
      <c r="AF25" s="7">
        <f t="shared" si="7"/>
        <v>4.9568178892438839</v>
      </c>
      <c r="AG25" s="7">
        <f t="shared" si="7"/>
        <v>3.7548361949106726</v>
      </c>
      <c r="AH25" s="7">
        <f t="shared" si="7"/>
        <v>0.33683112259394005</v>
      </c>
      <c r="AI25" s="7">
        <f t="shared" si="7"/>
        <v>1.6052686810848462</v>
      </c>
      <c r="AJ25" s="7">
        <f t="shared" si="7"/>
        <v>5.4646864494479503</v>
      </c>
      <c r="AK25" s="7">
        <f t="shared" si="7"/>
        <v>1.3645160770750071</v>
      </c>
      <c r="AL25" s="7">
        <f t="shared" si="7"/>
        <v>1.1564176749779</v>
      </c>
    </row>
    <row r="26" spans="1:38" ht="36.75" customHeight="1" x14ac:dyDescent="0.25">
      <c r="A26" s="156"/>
      <c r="B26" s="25" t="s">
        <v>116</v>
      </c>
      <c r="C26" s="22" t="s">
        <v>108</v>
      </c>
      <c r="D26" s="7">
        <f>D25/$N$25</f>
        <v>0.10794940604964276</v>
      </c>
      <c r="E26" s="7">
        <f t="shared" ref="E26:AL26" si="8">E25/$N$25</f>
        <v>7.9094392234184144E-2</v>
      </c>
      <c r="F26" s="7">
        <f t="shared" si="8"/>
        <v>0.39428435183814564</v>
      </c>
      <c r="G26" s="7">
        <f t="shared" si="8"/>
        <v>3.9293499496605863E-2</v>
      </c>
      <c r="H26" s="7">
        <f t="shared" si="8"/>
        <v>8.0278048177601397E-2</v>
      </c>
      <c r="I26" s="7">
        <f t="shared" si="8"/>
        <v>2.4479892949203302E-2</v>
      </c>
      <c r="J26" s="7">
        <f t="shared" si="8"/>
        <v>2.2125795885134844E-2</v>
      </c>
      <c r="K26" s="7">
        <f t="shared" si="8"/>
        <v>0.94846944395143773</v>
      </c>
      <c r="L26" s="7">
        <f t="shared" si="8"/>
        <v>0.22099821371126299</v>
      </c>
      <c r="M26" s="7">
        <f t="shared" si="8"/>
        <v>0.43947749500913214</v>
      </c>
      <c r="N26" s="7">
        <f t="shared" si="8"/>
        <v>1</v>
      </c>
      <c r="O26" s="7">
        <f t="shared" si="8"/>
        <v>0.25783231180655491</v>
      </c>
      <c r="P26" s="7">
        <f t="shared" si="8"/>
        <v>0.16146778879040058</v>
      </c>
      <c r="Q26" s="7">
        <f t="shared" si="8"/>
        <v>4.6031946764879206E-2</v>
      </c>
      <c r="R26" s="7">
        <f t="shared" si="8"/>
        <v>0.15874451097956552</v>
      </c>
      <c r="S26" s="7">
        <f t="shared" si="8"/>
        <v>0.17778674401427422</v>
      </c>
      <c r="T26" s="7">
        <f t="shared" si="8"/>
        <v>0.15585488368429046</v>
      </c>
      <c r="U26" s="7">
        <f t="shared" si="8"/>
        <v>0.12236545751008421</v>
      </c>
      <c r="V26" s="7">
        <f t="shared" si="8"/>
        <v>0.39433067438534963</v>
      </c>
      <c r="W26" s="7">
        <f t="shared" si="8"/>
        <v>0.3747970960928671</v>
      </c>
      <c r="X26" s="7">
        <f t="shared" si="8"/>
        <v>0.26633928242225252</v>
      </c>
      <c r="Y26" s="7">
        <f t="shared" si="8"/>
        <v>0.83102342029577392</v>
      </c>
      <c r="Z26" s="7">
        <f t="shared" si="8"/>
        <v>0.82460871250268408</v>
      </c>
      <c r="AA26" s="7">
        <f t="shared" si="8"/>
        <v>0.10000286725845925</v>
      </c>
      <c r="AB26" s="7">
        <f t="shared" si="8"/>
        <v>0.5798181951734771</v>
      </c>
      <c r="AC26" s="7">
        <f t="shared" si="8"/>
        <v>8.0110417879668355E-2</v>
      </c>
      <c r="AD26" s="7">
        <f t="shared" si="8"/>
        <v>4.2071471354939959E-2</v>
      </c>
      <c r="AE26" s="7">
        <f t="shared" si="8"/>
        <v>8.5687908357482093E-2</v>
      </c>
      <c r="AF26" s="7">
        <f t="shared" si="8"/>
        <v>0.4162635953081894</v>
      </c>
      <c r="AG26" s="7">
        <f t="shared" si="8"/>
        <v>0.31532359049915776</v>
      </c>
      <c r="AH26" s="7">
        <f t="shared" si="8"/>
        <v>2.8286400113044056E-2</v>
      </c>
      <c r="AI26" s="7">
        <f t="shared" si="8"/>
        <v>0.13480723471282163</v>
      </c>
      <c r="AJ26" s="7">
        <f t="shared" si="8"/>
        <v>0.45891337537642318</v>
      </c>
      <c r="AK26" s="7">
        <f t="shared" si="8"/>
        <v>0.1145893153209451</v>
      </c>
      <c r="AL26" s="7">
        <f t="shared" si="8"/>
        <v>9.7113630119194688E-2</v>
      </c>
    </row>
    <row r="27" spans="1:38" ht="36.75" customHeight="1" x14ac:dyDescent="0.25">
      <c r="A27" s="156"/>
      <c r="B27" s="25" t="s">
        <v>117</v>
      </c>
      <c r="C27" s="22" t="s">
        <v>108</v>
      </c>
      <c r="D27" s="7">
        <f>LOG(D25+1,10)/LOG($N$25+1)</f>
        <v>0.32314883704323055</v>
      </c>
      <c r="E27" s="7">
        <f t="shared" ref="E27:AL27" si="9">LOG(E25+1,10)/LOG($N$25+1)</f>
        <v>0.25945325446241879</v>
      </c>
      <c r="F27" s="7">
        <f t="shared" si="9"/>
        <v>0.68010741270255726</v>
      </c>
      <c r="G27" s="7">
        <f t="shared" si="9"/>
        <v>0.15006204336524087</v>
      </c>
      <c r="H27" s="7">
        <f t="shared" si="9"/>
        <v>0.26228074135296697</v>
      </c>
      <c r="I27" s="7">
        <f t="shared" si="9"/>
        <v>0.10000913669246131</v>
      </c>
      <c r="J27" s="7">
        <f t="shared" si="9"/>
        <v>9.1429940581979674E-2</v>
      </c>
      <c r="K27" s="7">
        <f t="shared" si="9"/>
        <v>0.98095834748193345</v>
      </c>
      <c r="L27" s="7">
        <f t="shared" si="9"/>
        <v>0.50420665742571336</v>
      </c>
      <c r="M27" s="7">
        <f t="shared" si="9"/>
        <v>0.71540776162870556</v>
      </c>
      <c r="N27" s="7">
        <f t="shared" si="9"/>
        <v>1</v>
      </c>
      <c r="O27" s="7">
        <f t="shared" si="9"/>
        <v>0.54878420723221943</v>
      </c>
      <c r="P27" s="7">
        <f t="shared" si="9"/>
        <v>0.41930773943010752</v>
      </c>
      <c r="Q27" s="7">
        <f t="shared" si="9"/>
        <v>0.17086935287892593</v>
      </c>
      <c r="R27" s="7">
        <f t="shared" si="9"/>
        <v>0.41494575778760728</v>
      </c>
      <c r="S27" s="7">
        <f t="shared" si="9"/>
        <v>0.4444735523480664</v>
      </c>
      <c r="T27" s="7">
        <f t="shared" si="9"/>
        <v>0.4102634840266996</v>
      </c>
      <c r="U27" s="7">
        <f t="shared" si="9"/>
        <v>0.35146370402008975</v>
      </c>
      <c r="V27" s="7">
        <f t="shared" si="9"/>
        <v>0.68014527719638262</v>
      </c>
      <c r="W27" s="7">
        <f t="shared" si="9"/>
        <v>0.6638439392472103</v>
      </c>
      <c r="X27" s="7">
        <f t="shared" si="9"/>
        <v>0.55839518534724775</v>
      </c>
      <c r="Y27" s="7">
        <f t="shared" si="9"/>
        <v>0.93374589757078119</v>
      </c>
      <c r="Z27" s="7">
        <f t="shared" si="9"/>
        <v>0.93099541528785734</v>
      </c>
      <c r="AA27" s="7">
        <f t="shared" si="9"/>
        <v>0.3066171265951052</v>
      </c>
      <c r="AB27" s="7">
        <f t="shared" si="9"/>
        <v>0.80826866422306576</v>
      </c>
      <c r="AC27" s="7">
        <f t="shared" si="9"/>
        <v>0.26188155120105211</v>
      </c>
      <c r="AD27" s="7">
        <f t="shared" si="9"/>
        <v>0.15877456722538519</v>
      </c>
      <c r="AE27" s="7">
        <f t="shared" si="9"/>
        <v>0.27494955739109073</v>
      </c>
      <c r="AF27" s="7">
        <f t="shared" si="9"/>
        <v>0.69767370718774935</v>
      </c>
      <c r="AG27" s="7">
        <f t="shared" si="9"/>
        <v>0.60956251041102305</v>
      </c>
      <c r="AH27" s="7">
        <f t="shared" si="9"/>
        <v>0.11349505401136201</v>
      </c>
      <c r="AI27" s="7">
        <f t="shared" si="9"/>
        <v>0.3743535567005023</v>
      </c>
      <c r="AJ27" s="7">
        <f t="shared" si="9"/>
        <v>0.72966090853801624</v>
      </c>
      <c r="AK27" s="7">
        <f t="shared" si="9"/>
        <v>0.33644559609222718</v>
      </c>
      <c r="AL27" s="7">
        <f t="shared" si="9"/>
        <v>0.30042884452158425</v>
      </c>
    </row>
    <row r="28" spans="1:38" ht="36.75" customHeight="1" x14ac:dyDescent="0.25">
      <c r="A28" s="156"/>
      <c r="B28" s="24" t="s">
        <v>126</v>
      </c>
      <c r="C28" s="22" t="s">
        <v>90</v>
      </c>
      <c r="D28" s="7">
        <v>10</v>
      </c>
      <c r="E28" s="2">
        <v>0</v>
      </c>
      <c r="F28" s="2">
        <v>4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5</v>
      </c>
      <c r="M28" s="2">
        <v>3</v>
      </c>
      <c r="N28" s="2">
        <v>0</v>
      </c>
      <c r="O28" s="2">
        <v>2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4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</row>
    <row r="29" spans="1:38" ht="36.75" customHeight="1" x14ac:dyDescent="0.25">
      <c r="A29" s="156"/>
      <c r="B29" s="24" t="s">
        <v>127</v>
      </c>
      <c r="C29" s="22" t="s">
        <v>90</v>
      </c>
      <c r="D29" s="7">
        <f>D28/D3</f>
        <v>2.2872754788978156E-2</v>
      </c>
      <c r="E29" s="7">
        <f t="shared" ref="E29:AL29" si="10">E28/E3</f>
        <v>0</v>
      </c>
      <c r="F29" s="7">
        <f t="shared" si="10"/>
        <v>6.3447184398096004E-2</v>
      </c>
      <c r="G29" s="7">
        <f t="shared" si="10"/>
        <v>0</v>
      </c>
      <c r="H29" s="7">
        <f t="shared" si="10"/>
        <v>0</v>
      </c>
      <c r="I29" s="7">
        <f t="shared" si="10"/>
        <v>0</v>
      </c>
      <c r="J29" s="7">
        <f t="shared" si="10"/>
        <v>0</v>
      </c>
      <c r="K29" s="7">
        <f t="shared" si="10"/>
        <v>0</v>
      </c>
      <c r="L29" s="7">
        <f t="shared" si="10"/>
        <v>2.5952866985809696E-2</v>
      </c>
      <c r="M29" s="7">
        <f t="shared" si="10"/>
        <v>0.11893741531997974</v>
      </c>
      <c r="N29" s="7">
        <f t="shared" si="10"/>
        <v>0</v>
      </c>
      <c r="O29" s="7">
        <f t="shared" si="10"/>
        <v>2.0001542776998865E-2</v>
      </c>
      <c r="P29" s="7">
        <f t="shared" si="10"/>
        <v>0</v>
      </c>
      <c r="Q29" s="7">
        <f t="shared" si="10"/>
        <v>0</v>
      </c>
      <c r="R29" s="7">
        <f t="shared" si="10"/>
        <v>0</v>
      </c>
      <c r="S29" s="7">
        <f t="shared" si="10"/>
        <v>0</v>
      </c>
      <c r="T29" s="7">
        <f t="shared" si="10"/>
        <v>0</v>
      </c>
      <c r="U29" s="7">
        <f t="shared" si="10"/>
        <v>0</v>
      </c>
      <c r="V29" s="7">
        <f t="shared" si="10"/>
        <v>0</v>
      </c>
      <c r="W29" s="7">
        <f t="shared" si="10"/>
        <v>0.43541850713534019</v>
      </c>
      <c r="X29" s="7">
        <f t="shared" si="10"/>
        <v>0</v>
      </c>
      <c r="Y29" s="7">
        <f t="shared" si="10"/>
        <v>0</v>
      </c>
      <c r="Z29" s="7">
        <f t="shared" si="10"/>
        <v>0</v>
      </c>
      <c r="AA29" s="7">
        <f t="shared" si="10"/>
        <v>0</v>
      </c>
      <c r="AB29" s="7">
        <f t="shared" si="10"/>
        <v>0</v>
      </c>
      <c r="AC29" s="7">
        <f t="shared" si="10"/>
        <v>0</v>
      </c>
      <c r="AD29" s="7">
        <f t="shared" si="10"/>
        <v>0</v>
      </c>
      <c r="AE29" s="7">
        <f t="shared" si="10"/>
        <v>0</v>
      </c>
      <c r="AF29" s="7">
        <f t="shared" si="10"/>
        <v>0</v>
      </c>
      <c r="AG29" s="7">
        <f t="shared" si="10"/>
        <v>0</v>
      </c>
      <c r="AH29" s="7">
        <f t="shared" si="10"/>
        <v>0</v>
      </c>
      <c r="AI29" s="7">
        <f t="shared" si="10"/>
        <v>0</v>
      </c>
      <c r="AJ29" s="7">
        <f t="shared" si="10"/>
        <v>0</v>
      </c>
      <c r="AK29" s="7">
        <f t="shared" si="10"/>
        <v>0</v>
      </c>
      <c r="AL29" s="7">
        <f t="shared" si="10"/>
        <v>0</v>
      </c>
    </row>
    <row r="30" spans="1:38" ht="36.75" customHeight="1" x14ac:dyDescent="0.25">
      <c r="A30" s="156"/>
      <c r="B30" s="25" t="s">
        <v>110</v>
      </c>
      <c r="C30" s="22" t="s">
        <v>90</v>
      </c>
      <c r="D30" s="7">
        <f>IF(D29&gt;0,D29/$W$29,0)</f>
        <v>5.2530506660041131E-2</v>
      </c>
      <c r="E30" s="7">
        <f t="shared" ref="E30:G30" si="11">IF(E29&gt;0,E29/$W$29,0)</f>
        <v>0</v>
      </c>
      <c r="F30" s="7">
        <f t="shared" si="11"/>
        <v>0.14571540565769947</v>
      </c>
      <c r="G30" s="7">
        <f t="shared" si="11"/>
        <v>0</v>
      </c>
      <c r="H30" s="7">
        <f t="shared" ref="H30" si="12">IF(H29&gt;0,H29/$W$29,0)</f>
        <v>0</v>
      </c>
      <c r="I30" s="7">
        <f t="shared" ref="I30:J30" si="13">IF(I29&gt;0,I29/$W$29,0)</f>
        <v>0</v>
      </c>
      <c r="J30" s="7">
        <f t="shared" si="13"/>
        <v>0</v>
      </c>
      <c r="K30" s="7">
        <f t="shared" ref="K30" si="14">IF(K29&gt;0,K29/$W$29,0)</f>
        <v>0</v>
      </c>
      <c r="L30" s="7">
        <f t="shared" ref="L30:M30" si="15">IF(L29&gt;0,L29/$W$29,0)</f>
        <v>5.9604418646685642E-2</v>
      </c>
      <c r="M30" s="7">
        <f t="shared" si="15"/>
        <v>0.27315654564726777</v>
      </c>
      <c r="N30" s="7">
        <f t="shared" ref="N30" si="16">IF(N29&gt;0,N29/$W$29,0)</f>
        <v>0</v>
      </c>
      <c r="O30" s="7">
        <f t="shared" ref="O30:P30" si="17">IF(O29&gt;0,O29/$W$29,0)</f>
        <v>4.5936363404924879E-2</v>
      </c>
      <c r="P30" s="7">
        <f t="shared" si="17"/>
        <v>0</v>
      </c>
      <c r="Q30" s="7">
        <f t="shared" ref="Q30" si="18">IF(Q29&gt;0,Q29/$W$29,0)</f>
        <v>0</v>
      </c>
      <c r="R30" s="7">
        <f t="shared" ref="R30:S30" si="19">IF(R29&gt;0,R29/$W$29,0)</f>
        <v>0</v>
      </c>
      <c r="S30" s="7">
        <f t="shared" si="19"/>
        <v>0</v>
      </c>
      <c r="T30" s="7">
        <f t="shared" ref="T30" si="20">IF(T29&gt;0,T29/$W$29,0)</f>
        <v>0</v>
      </c>
      <c r="U30" s="7">
        <f t="shared" ref="U30:V30" si="21">IF(U29&gt;0,U29/$W$29,0)</f>
        <v>0</v>
      </c>
      <c r="V30" s="7">
        <f t="shared" si="21"/>
        <v>0</v>
      </c>
      <c r="W30" s="7">
        <f t="shared" ref="W30" si="22">IF(W29&gt;0,W29/$W$29,0)</f>
        <v>1</v>
      </c>
      <c r="X30" s="7">
        <f t="shared" ref="X30:Y30" si="23">IF(X29&gt;0,X29/$W$29,0)</f>
        <v>0</v>
      </c>
      <c r="Y30" s="7">
        <f t="shared" si="23"/>
        <v>0</v>
      </c>
      <c r="Z30" s="7">
        <f t="shared" ref="Z30" si="24">IF(Z29&gt;0,Z29/$W$29,0)</f>
        <v>0</v>
      </c>
      <c r="AA30" s="7">
        <f t="shared" ref="AA30:AB30" si="25">IF(AA29&gt;0,AA29/$W$29,0)</f>
        <v>0</v>
      </c>
      <c r="AB30" s="7">
        <f t="shared" si="25"/>
        <v>0</v>
      </c>
      <c r="AC30" s="7">
        <f t="shared" ref="AC30" si="26">IF(AC29&gt;0,AC29/$W$29,0)</f>
        <v>0</v>
      </c>
      <c r="AD30" s="7">
        <f t="shared" ref="AD30:AE30" si="27">IF(AD29&gt;0,AD29/$W$29,0)</f>
        <v>0</v>
      </c>
      <c r="AE30" s="7">
        <f t="shared" si="27"/>
        <v>0</v>
      </c>
      <c r="AF30" s="7">
        <f t="shared" ref="AF30" si="28">IF(AF29&gt;0,AF29/$W$29,0)</f>
        <v>0</v>
      </c>
      <c r="AG30" s="7">
        <f t="shared" ref="AG30:AH30" si="29">IF(AG29&gt;0,AG29/$W$29,0)</f>
        <v>0</v>
      </c>
      <c r="AH30" s="7">
        <f t="shared" si="29"/>
        <v>0</v>
      </c>
      <c r="AI30" s="7">
        <f t="shared" ref="AI30" si="30">IF(AI29&gt;0,AI29/$W$29,0)</f>
        <v>0</v>
      </c>
      <c r="AJ30" s="7">
        <f t="shared" ref="AJ30:AK30" si="31">IF(AJ29&gt;0,AJ29/$W$29,0)</f>
        <v>0</v>
      </c>
      <c r="AK30" s="7">
        <f t="shared" si="31"/>
        <v>0</v>
      </c>
      <c r="AL30" s="7">
        <f t="shared" ref="AL30" si="32">IF(AL29&gt;0,AL29/$W$29,0)</f>
        <v>0</v>
      </c>
    </row>
    <row r="31" spans="1:38" ht="36.75" customHeight="1" thickBot="1" x14ac:dyDescent="0.3">
      <c r="A31" s="157"/>
      <c r="B31" s="25" t="s">
        <v>111</v>
      </c>
      <c r="C31" s="22" t="s">
        <v>90</v>
      </c>
      <c r="D31" s="7">
        <f>IF(D29&gt;0,LOG(D29+1,10)/LOG($W$29+1),0)</f>
        <v>6.2566582797763032E-2</v>
      </c>
      <c r="E31" s="7">
        <f t="shared" ref="E31:AL31" si="33">IF(E29&gt;0,LOG(E29+1,10)/LOG($W$29+1),0)</f>
        <v>0</v>
      </c>
      <c r="F31" s="7">
        <f t="shared" si="33"/>
        <v>0.17018839332892988</v>
      </c>
      <c r="G31" s="7">
        <f t="shared" si="33"/>
        <v>0</v>
      </c>
      <c r="H31" s="7">
        <f t="shared" si="33"/>
        <v>0</v>
      </c>
      <c r="I31" s="7">
        <f t="shared" si="33"/>
        <v>0</v>
      </c>
      <c r="J31" s="7">
        <f t="shared" si="33"/>
        <v>0</v>
      </c>
      <c r="K31" s="7">
        <f t="shared" si="33"/>
        <v>0</v>
      </c>
      <c r="L31" s="7">
        <f t="shared" si="33"/>
        <v>7.0884907802882882E-2</v>
      </c>
      <c r="M31" s="7">
        <f t="shared" si="33"/>
        <v>0.31090743814236449</v>
      </c>
      <c r="N31" s="7">
        <f t="shared" si="33"/>
        <v>0</v>
      </c>
      <c r="O31" s="7">
        <f t="shared" si="33"/>
        <v>5.4789836673609552E-2</v>
      </c>
      <c r="P31" s="7">
        <f t="shared" si="33"/>
        <v>0</v>
      </c>
      <c r="Q31" s="7">
        <f t="shared" si="33"/>
        <v>0</v>
      </c>
      <c r="R31" s="7">
        <f t="shared" si="33"/>
        <v>0</v>
      </c>
      <c r="S31" s="7">
        <f t="shared" si="33"/>
        <v>0</v>
      </c>
      <c r="T31" s="7">
        <f t="shared" si="33"/>
        <v>0</v>
      </c>
      <c r="U31" s="7">
        <f t="shared" si="33"/>
        <v>0</v>
      </c>
      <c r="V31" s="7">
        <f t="shared" si="33"/>
        <v>0</v>
      </c>
      <c r="W31" s="7">
        <f t="shared" si="33"/>
        <v>1</v>
      </c>
      <c r="X31" s="7">
        <f t="shared" si="33"/>
        <v>0</v>
      </c>
      <c r="Y31" s="7">
        <f t="shared" si="33"/>
        <v>0</v>
      </c>
      <c r="Z31" s="7">
        <f t="shared" si="33"/>
        <v>0</v>
      </c>
      <c r="AA31" s="7">
        <f t="shared" si="33"/>
        <v>0</v>
      </c>
      <c r="AB31" s="7">
        <f t="shared" si="33"/>
        <v>0</v>
      </c>
      <c r="AC31" s="7">
        <f t="shared" si="33"/>
        <v>0</v>
      </c>
      <c r="AD31" s="7">
        <f t="shared" si="33"/>
        <v>0</v>
      </c>
      <c r="AE31" s="7">
        <f t="shared" si="33"/>
        <v>0</v>
      </c>
      <c r="AF31" s="7">
        <f t="shared" si="33"/>
        <v>0</v>
      </c>
      <c r="AG31" s="7">
        <f t="shared" si="33"/>
        <v>0</v>
      </c>
      <c r="AH31" s="7">
        <f t="shared" si="33"/>
        <v>0</v>
      </c>
      <c r="AI31" s="7">
        <f t="shared" si="33"/>
        <v>0</v>
      </c>
      <c r="AJ31" s="7">
        <f t="shared" si="33"/>
        <v>0</v>
      </c>
      <c r="AK31" s="7">
        <f t="shared" si="33"/>
        <v>0</v>
      </c>
      <c r="AL31" s="7">
        <f t="shared" si="33"/>
        <v>0</v>
      </c>
    </row>
    <row r="32" spans="1:38" ht="36.75" customHeight="1" x14ac:dyDescent="0.25">
      <c r="A32" s="154" t="s">
        <v>10</v>
      </c>
      <c r="B32" s="26" t="s">
        <v>82</v>
      </c>
      <c r="C32" s="18" t="s">
        <v>97</v>
      </c>
      <c r="D32" s="7">
        <v>0.83499999999999996</v>
      </c>
      <c r="E32" s="2">
        <v>0.47799999999999998</v>
      </c>
      <c r="F32" s="2">
        <v>0.48099999999999998</v>
      </c>
      <c r="G32" s="2">
        <v>0.53400000000000003</v>
      </c>
      <c r="H32" s="2">
        <v>0.36499999999999999</v>
      </c>
      <c r="I32" s="2">
        <v>0.48399999999999999</v>
      </c>
      <c r="J32" s="2">
        <v>0.27400000000000002</v>
      </c>
      <c r="K32" s="2">
        <v>0.25600000000000001</v>
      </c>
      <c r="L32" s="2">
        <v>0.39</v>
      </c>
      <c r="M32" s="2">
        <v>0.22500000000000001</v>
      </c>
      <c r="N32" s="2">
        <v>0.26900000000000002</v>
      </c>
      <c r="O32" s="2">
        <v>0.34499999999999997</v>
      </c>
      <c r="P32" s="2">
        <v>0.255</v>
      </c>
      <c r="Q32" s="2">
        <v>0.42299999999999999</v>
      </c>
      <c r="R32" s="2">
        <v>0.318</v>
      </c>
      <c r="S32" s="2">
        <v>0.19400000000000001</v>
      </c>
      <c r="T32" s="2">
        <v>0.27900000000000003</v>
      </c>
      <c r="U32" s="2">
        <v>0.28599999999999998</v>
      </c>
      <c r="V32" s="2">
        <v>0.30499999999999999</v>
      </c>
      <c r="W32" s="2">
        <v>0.27400000000000002</v>
      </c>
      <c r="X32" s="2">
        <v>0.19700000000000001</v>
      </c>
      <c r="Y32" s="2">
        <v>0.36</v>
      </c>
      <c r="Z32" s="2">
        <v>0.22600000000000001</v>
      </c>
      <c r="AA32" s="2">
        <v>0.223</v>
      </c>
      <c r="AB32" s="2">
        <v>0.28799999999999998</v>
      </c>
      <c r="AC32" s="2">
        <v>0.35699999999999998</v>
      </c>
      <c r="AD32" s="2">
        <v>0.222</v>
      </c>
      <c r="AE32" s="2">
        <v>0.29499999999999998</v>
      </c>
      <c r="AF32" s="2">
        <v>0.40600000000000003</v>
      </c>
      <c r="AG32" s="2">
        <v>0.35</v>
      </c>
      <c r="AH32" s="2">
        <v>0.46700000000000003</v>
      </c>
      <c r="AI32" s="2">
        <v>0.13900000000000001</v>
      </c>
      <c r="AJ32" s="2">
        <v>0.25700000000000001</v>
      </c>
      <c r="AK32" s="2">
        <f>0.226+0.032</f>
        <v>0.25800000000000001</v>
      </c>
      <c r="AL32" s="2">
        <v>0.26300000000000001</v>
      </c>
    </row>
    <row r="33" spans="1:38" ht="36.75" customHeight="1" x14ac:dyDescent="0.25">
      <c r="A33" s="152"/>
      <c r="B33" s="14" t="s">
        <v>83</v>
      </c>
      <c r="C33" s="18" t="s">
        <v>92</v>
      </c>
      <c r="D33" s="7">
        <v>0.90900000000000003</v>
      </c>
      <c r="E33" s="2">
        <v>0.71599999999999997</v>
      </c>
      <c r="F33" s="2">
        <v>0.79</v>
      </c>
      <c r="G33" s="2">
        <v>0.70899999999999996</v>
      </c>
      <c r="H33" s="2">
        <v>0.58799999999999997</v>
      </c>
      <c r="I33" s="2">
        <v>0.73799999999999999</v>
      </c>
      <c r="J33" s="2">
        <v>0.70099999999999996</v>
      </c>
      <c r="K33" s="2">
        <v>0.35599999999999998</v>
      </c>
      <c r="L33" s="2">
        <v>0.71099999999999997</v>
      </c>
      <c r="M33" s="2">
        <v>0.28999999999999998</v>
      </c>
      <c r="N33" s="2">
        <v>0.71399999999999997</v>
      </c>
      <c r="O33" s="2">
        <v>0.56899999999999995</v>
      </c>
      <c r="P33" s="2">
        <v>0.53800000000000003</v>
      </c>
      <c r="Q33" s="2">
        <v>0.68</v>
      </c>
      <c r="R33" s="2">
        <v>0.61299999999999999</v>
      </c>
      <c r="S33" s="2">
        <v>0.45800000000000002</v>
      </c>
      <c r="T33" s="2">
        <v>0.30099999999999999</v>
      </c>
      <c r="U33" s="2">
        <v>0.14199999999999999</v>
      </c>
      <c r="V33" s="2">
        <v>0.42699999999999999</v>
      </c>
      <c r="W33" s="2">
        <v>0.52200000000000002</v>
      </c>
      <c r="X33" s="2">
        <v>0.42699999999999999</v>
      </c>
      <c r="Y33" s="2">
        <v>0.36299999999999999</v>
      </c>
      <c r="Z33" s="2">
        <v>0.60199999999999998</v>
      </c>
      <c r="AA33" s="2">
        <v>8.6999999999999994E-2</v>
      </c>
      <c r="AB33" s="2">
        <v>0.49</v>
      </c>
      <c r="AC33" s="2">
        <v>0.63300000000000001</v>
      </c>
      <c r="AD33" s="2">
        <v>0.11600000000000001</v>
      </c>
      <c r="AE33" s="2">
        <v>0.39200000000000002</v>
      </c>
      <c r="AF33" s="2">
        <v>0</v>
      </c>
      <c r="AG33" s="2">
        <v>0.26500000000000001</v>
      </c>
      <c r="AH33" s="2">
        <v>0.59299999999999997</v>
      </c>
      <c r="AI33" s="2">
        <v>0.46</v>
      </c>
      <c r="AJ33" s="2">
        <v>0.33100000000000002</v>
      </c>
      <c r="AK33" s="2">
        <v>0.55700000000000005</v>
      </c>
      <c r="AL33" s="2">
        <v>0.27500000000000002</v>
      </c>
    </row>
    <row r="34" spans="1:38" ht="47.25" customHeight="1" x14ac:dyDescent="0.25">
      <c r="A34" s="152"/>
      <c r="B34" s="14" t="s">
        <v>84</v>
      </c>
      <c r="C34" s="18" t="s">
        <v>95</v>
      </c>
      <c r="D34" s="7">
        <v>0.85699999999999998</v>
      </c>
      <c r="E34" s="2">
        <v>0.92500000000000004</v>
      </c>
      <c r="F34" s="2">
        <v>0.90700000000000003</v>
      </c>
      <c r="G34" s="2">
        <v>0.73499999999999999</v>
      </c>
      <c r="H34" s="2">
        <v>0.94899999999999995</v>
      </c>
      <c r="I34" s="2">
        <v>0.96899999999999997</v>
      </c>
      <c r="J34" s="2">
        <v>0.83699999999999997</v>
      </c>
      <c r="K34" s="2">
        <v>0.60399999999999998</v>
      </c>
      <c r="L34" s="2">
        <v>0.97699999999999998</v>
      </c>
      <c r="M34" s="2">
        <v>0.80600000000000005</v>
      </c>
      <c r="N34" s="2">
        <v>0.79400000000000004</v>
      </c>
      <c r="O34" s="2">
        <v>0.91300000000000003</v>
      </c>
      <c r="P34" s="2">
        <v>0.83099999999999996</v>
      </c>
      <c r="Q34" s="2">
        <v>0.94899999999999995</v>
      </c>
      <c r="R34" s="2">
        <v>0.96</v>
      </c>
      <c r="S34" s="2">
        <v>0.72799999999999998</v>
      </c>
      <c r="T34" s="2">
        <v>0.76900000000000002</v>
      </c>
      <c r="U34" s="2">
        <v>0.67700000000000005</v>
      </c>
      <c r="V34" s="2">
        <v>0.497</v>
      </c>
      <c r="W34" s="2">
        <v>0.81599999999999995</v>
      </c>
      <c r="X34" s="2">
        <v>0.55800000000000005</v>
      </c>
      <c r="Y34" s="2">
        <v>0.59299999999999997</v>
      </c>
      <c r="Z34" s="2">
        <v>0.40899999999999997</v>
      </c>
      <c r="AA34" s="2">
        <v>0.186</v>
      </c>
      <c r="AB34" s="2">
        <f>0.658+0.037</f>
        <v>0.69500000000000006</v>
      </c>
      <c r="AC34" s="2">
        <v>0.79500000000000004</v>
      </c>
      <c r="AD34" s="2">
        <v>0.76700000000000002</v>
      </c>
      <c r="AE34" s="2">
        <v>0.80300000000000005</v>
      </c>
      <c r="AF34" s="2">
        <v>0.47599999999999998</v>
      </c>
      <c r="AG34" s="2">
        <v>0.84799999999999998</v>
      </c>
      <c r="AH34" s="2">
        <v>0.27400000000000002</v>
      </c>
      <c r="AI34" s="2">
        <v>0.61899999999999999</v>
      </c>
      <c r="AJ34" s="2">
        <v>0.63400000000000001</v>
      </c>
      <c r="AK34" s="2">
        <v>0.79700000000000004</v>
      </c>
      <c r="AL34" s="2">
        <v>0.27</v>
      </c>
    </row>
    <row r="35" spans="1:38" ht="36.75" customHeight="1" thickBot="1" x14ac:dyDescent="0.3">
      <c r="A35" s="153"/>
      <c r="B35" s="15" t="s">
        <v>11</v>
      </c>
      <c r="C35" s="18" t="s">
        <v>91</v>
      </c>
      <c r="D35" s="7">
        <v>0.98</v>
      </c>
      <c r="E35" s="2">
        <v>0.81</v>
      </c>
      <c r="F35" s="2">
        <v>0.99</v>
      </c>
      <c r="G35" s="2">
        <v>0.6</v>
      </c>
      <c r="H35" s="2">
        <v>0.62</v>
      </c>
      <c r="I35" s="2">
        <v>0.85</v>
      </c>
      <c r="J35" s="2">
        <v>0.71</v>
      </c>
      <c r="K35" s="2">
        <v>0.87</v>
      </c>
      <c r="L35" s="2">
        <v>0.88</v>
      </c>
      <c r="M35" s="2">
        <v>0.75</v>
      </c>
      <c r="N35" s="2">
        <v>0.75</v>
      </c>
      <c r="O35" s="2">
        <v>0.55000000000000004</v>
      </c>
      <c r="P35" s="2">
        <v>0.64</v>
      </c>
      <c r="Q35" s="2">
        <v>0.77</v>
      </c>
      <c r="R35" s="2">
        <v>0.7</v>
      </c>
      <c r="S35" s="2">
        <v>0.47</v>
      </c>
      <c r="T35" s="2">
        <v>0.97</v>
      </c>
      <c r="U35" s="2">
        <v>0.87</v>
      </c>
      <c r="V35" s="2">
        <v>0.77</v>
      </c>
      <c r="W35" s="2">
        <v>0.89</v>
      </c>
      <c r="X35" s="2">
        <v>0.67</v>
      </c>
      <c r="Y35" s="2">
        <v>0.89</v>
      </c>
      <c r="Z35" s="2">
        <v>0.6</v>
      </c>
      <c r="AA35" s="2">
        <v>0.74</v>
      </c>
      <c r="AB35" s="2">
        <v>0.63</v>
      </c>
      <c r="AC35" s="2">
        <v>0.62</v>
      </c>
      <c r="AD35" s="2">
        <v>7.0000000000000007E-2</v>
      </c>
      <c r="AE35" s="2">
        <v>0.35</v>
      </c>
      <c r="AF35" s="2">
        <v>0.61</v>
      </c>
      <c r="AG35" s="2">
        <v>0.75</v>
      </c>
      <c r="AH35" s="2">
        <v>0.41</v>
      </c>
      <c r="AI35" s="2">
        <v>0.41</v>
      </c>
      <c r="AJ35" s="2">
        <v>0.83</v>
      </c>
      <c r="AK35" s="2">
        <v>0.64</v>
      </c>
      <c r="AL35" s="2">
        <v>0.34</v>
      </c>
    </row>
    <row r="36" spans="1:38" ht="90.75" thickBot="1" x14ac:dyDescent="0.3">
      <c r="A36" s="146" t="s">
        <v>12</v>
      </c>
      <c r="B36" s="36" t="s">
        <v>115</v>
      </c>
      <c r="C36" s="75" t="s">
        <v>130</v>
      </c>
      <c r="D36" s="7">
        <v>441</v>
      </c>
      <c r="E36" s="2">
        <v>420</v>
      </c>
      <c r="F36" s="2">
        <v>420</v>
      </c>
      <c r="G36" s="2">
        <v>417</v>
      </c>
      <c r="H36" s="2">
        <v>780</v>
      </c>
      <c r="I36" s="2">
        <v>474</v>
      </c>
      <c r="J36" s="2">
        <v>184</v>
      </c>
      <c r="K36" s="2">
        <v>372</v>
      </c>
      <c r="L36" s="2">
        <v>151</v>
      </c>
      <c r="M36" s="2">
        <v>612</v>
      </c>
      <c r="N36" s="2">
        <v>275</v>
      </c>
      <c r="O36" s="2">
        <v>263</v>
      </c>
      <c r="P36" s="2">
        <v>756</v>
      </c>
      <c r="Q36" s="2">
        <v>154</v>
      </c>
      <c r="R36" s="2">
        <v>184</v>
      </c>
      <c r="S36" s="2">
        <v>1303</v>
      </c>
      <c r="T36" s="2">
        <v>397</v>
      </c>
      <c r="U36" s="2">
        <v>1267</v>
      </c>
      <c r="V36" s="2">
        <v>685</v>
      </c>
      <c r="W36" s="2">
        <v>660</v>
      </c>
      <c r="X36" s="2">
        <v>594</v>
      </c>
      <c r="Y36" s="2">
        <v>458</v>
      </c>
      <c r="Z36" s="2">
        <v>311</v>
      </c>
      <c r="AA36" s="2">
        <v>2065</v>
      </c>
      <c r="AB36" s="2">
        <v>84</v>
      </c>
      <c r="AC36" s="2">
        <v>1132</v>
      </c>
      <c r="AD36" s="2">
        <v>1879</v>
      </c>
      <c r="AE36" s="2">
        <v>536</v>
      </c>
      <c r="AF36" s="2">
        <v>702</v>
      </c>
      <c r="AG36" s="2">
        <v>747</v>
      </c>
      <c r="AH36" s="2">
        <v>365</v>
      </c>
      <c r="AI36" s="2">
        <v>129</v>
      </c>
      <c r="AJ36" s="2">
        <v>931</v>
      </c>
      <c r="AK36" s="20"/>
      <c r="AL36" s="20"/>
    </row>
    <row r="37" spans="1:38" ht="90" x14ac:dyDescent="0.25">
      <c r="A37" s="147"/>
      <c r="B37" s="37" t="s">
        <v>13</v>
      </c>
      <c r="C37" s="75" t="s">
        <v>130</v>
      </c>
      <c r="D37" s="2">
        <f t="shared" ref="D37:AJ37" si="34">ROUND(1 - (D36 / 2065),3)</f>
        <v>0.78600000000000003</v>
      </c>
      <c r="E37" s="2">
        <f t="shared" si="34"/>
        <v>0.79700000000000004</v>
      </c>
      <c r="F37" s="2">
        <f t="shared" si="34"/>
        <v>0.79700000000000004</v>
      </c>
      <c r="G37" s="2">
        <f t="shared" si="34"/>
        <v>0.79800000000000004</v>
      </c>
      <c r="H37" s="2">
        <f t="shared" si="34"/>
        <v>0.622</v>
      </c>
      <c r="I37" s="2">
        <f t="shared" si="34"/>
        <v>0.77</v>
      </c>
      <c r="J37" s="2">
        <f t="shared" si="34"/>
        <v>0.91100000000000003</v>
      </c>
      <c r="K37" s="2">
        <f t="shared" si="34"/>
        <v>0.82</v>
      </c>
      <c r="L37" s="2">
        <f t="shared" si="34"/>
        <v>0.92700000000000005</v>
      </c>
      <c r="M37" s="2">
        <f t="shared" si="34"/>
        <v>0.70399999999999996</v>
      </c>
      <c r="N37" s="2">
        <f t="shared" si="34"/>
        <v>0.86699999999999999</v>
      </c>
      <c r="O37" s="2">
        <f t="shared" si="34"/>
        <v>0.873</v>
      </c>
      <c r="P37" s="2">
        <f t="shared" si="34"/>
        <v>0.63400000000000001</v>
      </c>
      <c r="Q37" s="2">
        <f t="shared" si="34"/>
        <v>0.92500000000000004</v>
      </c>
      <c r="R37" s="2">
        <f t="shared" si="34"/>
        <v>0.91100000000000003</v>
      </c>
      <c r="S37" s="2">
        <f t="shared" si="34"/>
        <v>0.36899999999999999</v>
      </c>
      <c r="T37" s="2">
        <f t="shared" si="34"/>
        <v>0.80800000000000005</v>
      </c>
      <c r="U37" s="2">
        <f t="shared" si="34"/>
        <v>0.38600000000000001</v>
      </c>
      <c r="V37" s="2">
        <f t="shared" si="34"/>
        <v>0.66800000000000004</v>
      </c>
      <c r="W37" s="2">
        <f t="shared" si="34"/>
        <v>0.68</v>
      </c>
      <c r="X37" s="2">
        <f t="shared" si="34"/>
        <v>0.71199999999999997</v>
      </c>
      <c r="Y37" s="2">
        <f t="shared" si="34"/>
        <v>0.77800000000000002</v>
      </c>
      <c r="Z37" s="2">
        <f t="shared" si="34"/>
        <v>0.84899999999999998</v>
      </c>
      <c r="AA37" s="2">
        <f t="shared" si="34"/>
        <v>0</v>
      </c>
      <c r="AB37" s="2">
        <f t="shared" si="34"/>
        <v>0.95899999999999996</v>
      </c>
      <c r="AC37" s="2">
        <f t="shared" si="34"/>
        <v>0.45200000000000001</v>
      </c>
      <c r="AD37" s="2">
        <f t="shared" si="34"/>
        <v>0.09</v>
      </c>
      <c r="AE37" s="2">
        <f t="shared" si="34"/>
        <v>0.74</v>
      </c>
      <c r="AF37" s="2">
        <f t="shared" si="34"/>
        <v>0.66</v>
      </c>
      <c r="AG37" s="2">
        <f t="shared" si="34"/>
        <v>0.63800000000000001</v>
      </c>
      <c r="AH37" s="2">
        <f t="shared" si="34"/>
        <v>0.82299999999999995</v>
      </c>
      <c r="AI37" s="2">
        <f t="shared" si="34"/>
        <v>0.93799999999999994</v>
      </c>
      <c r="AJ37" s="2">
        <f t="shared" si="34"/>
        <v>0.54900000000000004</v>
      </c>
      <c r="AK37" s="20"/>
      <c r="AL37" s="20"/>
    </row>
    <row r="38" spans="1:38" ht="36.75" customHeight="1" x14ac:dyDescent="0.25">
      <c r="A38" s="147"/>
      <c r="B38" s="13" t="s">
        <v>14</v>
      </c>
      <c r="C38" s="17" t="s">
        <v>94</v>
      </c>
      <c r="D38" s="7">
        <v>0.98199999999999998</v>
      </c>
      <c r="E38" s="2">
        <v>0.878</v>
      </c>
      <c r="F38" s="2">
        <v>0.85599999999999998</v>
      </c>
      <c r="G38" s="2">
        <v>0.76200000000000001</v>
      </c>
      <c r="H38" s="2">
        <v>0.76400000000000001</v>
      </c>
      <c r="I38" s="2">
        <v>0.70799999999999996</v>
      </c>
      <c r="J38" s="2">
        <v>0.81</v>
      </c>
      <c r="K38" s="2">
        <v>0.86599999999999999</v>
      </c>
      <c r="L38" s="2">
        <v>0.871</v>
      </c>
      <c r="M38" s="2">
        <v>0.85299999999999998</v>
      </c>
      <c r="N38" s="2">
        <v>0.95699999999999996</v>
      </c>
      <c r="O38" s="2">
        <v>0.80100000000000005</v>
      </c>
      <c r="P38" s="2">
        <v>0.63400000000000001</v>
      </c>
      <c r="Q38" s="2">
        <v>0.74299999999999999</v>
      </c>
      <c r="R38" s="2">
        <v>0.69499999999999995</v>
      </c>
      <c r="S38" s="2">
        <v>0.92700000000000005</v>
      </c>
      <c r="T38" s="2">
        <v>0.879</v>
      </c>
      <c r="U38" s="2">
        <v>0.91100000000000003</v>
      </c>
      <c r="V38" s="2">
        <v>0.83399999999999996</v>
      </c>
      <c r="W38" s="2">
        <v>0.88300000000000001</v>
      </c>
      <c r="X38" s="2">
        <v>0.85499999999999998</v>
      </c>
      <c r="Y38" s="2">
        <v>0.997</v>
      </c>
      <c r="Z38" s="2">
        <v>0.9</v>
      </c>
      <c r="AA38" s="2">
        <v>0.91700000000000004</v>
      </c>
      <c r="AB38" s="2">
        <v>0.378</v>
      </c>
      <c r="AC38" s="2">
        <v>0.84899999999999998</v>
      </c>
      <c r="AD38" s="2">
        <v>0.95</v>
      </c>
      <c r="AE38" s="2">
        <v>0.41599999999999998</v>
      </c>
      <c r="AF38" s="2">
        <v>0.82</v>
      </c>
      <c r="AG38" s="2">
        <v>0.877</v>
      </c>
      <c r="AH38" s="2">
        <v>0.86799999999999999</v>
      </c>
      <c r="AI38" s="2">
        <v>0.46899999999999997</v>
      </c>
      <c r="AJ38" s="2">
        <v>0.70899999999999996</v>
      </c>
      <c r="AK38" s="2">
        <v>0.61299999999999999</v>
      </c>
      <c r="AL38" s="2">
        <v>0.44800000000000001</v>
      </c>
    </row>
    <row r="39" spans="1:38" ht="36.75" customHeight="1" thickBot="1" x14ac:dyDescent="0.3">
      <c r="A39" s="148"/>
      <c r="B39" s="16" t="s">
        <v>85</v>
      </c>
      <c r="C39" s="17" t="s">
        <v>94</v>
      </c>
      <c r="D39" s="7">
        <v>0.88300000000000001</v>
      </c>
      <c r="E39" s="2">
        <v>0.61799999999999999</v>
      </c>
      <c r="F39" s="2">
        <v>0.754</v>
      </c>
      <c r="G39" s="2">
        <v>0.66200000000000003</v>
      </c>
      <c r="H39" s="2">
        <v>0.51200000000000001</v>
      </c>
      <c r="I39" s="2">
        <v>0.441</v>
      </c>
      <c r="J39" s="2">
        <v>0.79500000000000004</v>
      </c>
      <c r="K39" s="2">
        <v>0.79100000000000004</v>
      </c>
      <c r="L39" s="2">
        <v>0.877</v>
      </c>
      <c r="M39" s="2">
        <v>0.78500000000000003</v>
      </c>
      <c r="N39" s="2">
        <v>0.92</v>
      </c>
      <c r="O39" s="2">
        <v>0.66400000000000003</v>
      </c>
      <c r="P39" s="2">
        <v>0.625</v>
      </c>
      <c r="Q39" s="2">
        <v>0.45100000000000001</v>
      </c>
      <c r="R39" s="2">
        <v>0.70599999999999996</v>
      </c>
      <c r="S39" s="2">
        <v>0.66200000000000003</v>
      </c>
      <c r="T39" s="2">
        <v>0.80200000000000005</v>
      </c>
      <c r="U39" s="2">
        <v>0.63500000000000001</v>
      </c>
      <c r="V39" s="2">
        <v>0.88100000000000001</v>
      </c>
      <c r="W39" s="2">
        <v>0.91800000000000004</v>
      </c>
      <c r="X39" s="2">
        <v>0.8</v>
      </c>
      <c r="Y39" s="2">
        <v>0.997</v>
      </c>
      <c r="Z39" s="2">
        <v>0.875</v>
      </c>
      <c r="AA39" s="2">
        <v>0.46100000000000002</v>
      </c>
      <c r="AB39" s="2">
        <v>0.34499999999999997</v>
      </c>
      <c r="AC39" s="2">
        <v>0.55800000000000005</v>
      </c>
      <c r="AD39" s="2">
        <v>0.746</v>
      </c>
      <c r="AE39" s="2">
        <v>0.33900000000000002</v>
      </c>
      <c r="AF39" s="2">
        <v>0.34699999999999998</v>
      </c>
      <c r="AG39" s="2">
        <v>0.33200000000000002</v>
      </c>
      <c r="AH39" s="2">
        <v>0.45500000000000002</v>
      </c>
      <c r="AI39" s="2">
        <v>0.153</v>
      </c>
      <c r="AJ39" s="2">
        <v>0.47199999999999998</v>
      </c>
      <c r="AK39" s="2">
        <v>0.17100000000000001</v>
      </c>
      <c r="AL39" s="2">
        <v>0.30499999999999999</v>
      </c>
    </row>
    <row r="40" spans="1:38" x14ac:dyDescent="0.25">
      <c r="A40" s="1"/>
    </row>
    <row r="41" spans="1:38" x14ac:dyDescent="0.25">
      <c r="A41" s="1"/>
    </row>
  </sheetData>
  <mergeCells count="6">
    <mergeCell ref="A36:A39"/>
    <mergeCell ref="B1:B2"/>
    <mergeCell ref="A5:A8"/>
    <mergeCell ref="A32:A35"/>
    <mergeCell ref="A9:A17"/>
    <mergeCell ref="A18:A31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81EAB-B895-45E5-B0B9-E0509BC136AD}">
  <dimension ref="A1:I28"/>
  <sheetViews>
    <sheetView zoomScale="85" zoomScaleNormal="85" workbookViewId="0">
      <selection activeCell="A2" sqref="A2"/>
    </sheetView>
  </sheetViews>
  <sheetFormatPr defaultRowHeight="15" x14ac:dyDescent="0.25"/>
  <cols>
    <col min="1" max="1" width="20.28515625" customWidth="1"/>
    <col min="2" max="2" width="58.7109375" customWidth="1"/>
    <col min="3" max="3" width="17" customWidth="1"/>
    <col min="4" max="7" width="15.140625" customWidth="1"/>
    <col min="8" max="8" width="16.140625" customWidth="1"/>
    <col min="13" max="13" width="35.140625" customWidth="1"/>
    <col min="14" max="19" width="12.42578125" customWidth="1"/>
  </cols>
  <sheetData>
    <row r="1" spans="1:8" s="4" customFormat="1" ht="15.75" thickBot="1" x14ac:dyDescent="0.3">
      <c r="A1" s="79"/>
    </row>
    <row r="2" spans="1:8" s="3" customFormat="1" ht="33" customHeight="1" thickBot="1" x14ac:dyDescent="0.3">
      <c r="A2" s="81"/>
      <c r="B2" s="83" t="s">
        <v>0</v>
      </c>
      <c r="C2" s="87" t="s">
        <v>151</v>
      </c>
      <c r="D2" s="87" t="s">
        <v>152</v>
      </c>
      <c r="E2" s="87" t="s">
        <v>153</v>
      </c>
      <c r="F2" s="87" t="s">
        <v>154</v>
      </c>
      <c r="G2" s="87" t="s">
        <v>155</v>
      </c>
      <c r="H2" s="98" t="s">
        <v>156</v>
      </c>
    </row>
    <row r="3" spans="1:8" s="3" customFormat="1" ht="33" customHeight="1" thickBot="1" x14ac:dyDescent="0.3">
      <c r="A3" s="158" t="s">
        <v>1</v>
      </c>
      <c r="B3" s="84" t="s">
        <v>1</v>
      </c>
      <c r="C3" s="99">
        <v>0.23269999999999999</v>
      </c>
      <c r="D3" s="99">
        <v>0.31709999999999999</v>
      </c>
      <c r="E3" s="99">
        <v>0.14799999999999999</v>
      </c>
      <c r="F3" s="99">
        <v>9.7000000000000003E-2</v>
      </c>
      <c r="G3" s="99">
        <v>0.247</v>
      </c>
      <c r="H3" s="100">
        <f>SUM(C3:G3)/5</f>
        <v>0.20835999999999996</v>
      </c>
    </row>
    <row r="4" spans="1:8" ht="36.75" customHeight="1" x14ac:dyDescent="0.25">
      <c r="A4" s="159"/>
      <c r="B4" s="37" t="s">
        <v>2</v>
      </c>
      <c r="C4" s="96">
        <v>0.4874</v>
      </c>
      <c r="D4" s="96">
        <v>0.55100000000000005</v>
      </c>
      <c r="E4" s="96">
        <v>7.1999999999999995E-2</v>
      </c>
      <c r="F4" s="96">
        <v>0.44400000000000001</v>
      </c>
      <c r="G4" s="96">
        <v>0.50829999999999997</v>
      </c>
      <c r="H4" s="101">
        <f t="shared" ref="H4:H26" si="0">SUM(C4:G4)/5</f>
        <v>0.41254000000000002</v>
      </c>
    </row>
    <row r="5" spans="1:8" ht="36.75" customHeight="1" x14ac:dyDescent="0.25">
      <c r="A5" s="159"/>
      <c r="B5" s="41" t="s">
        <v>3</v>
      </c>
      <c r="C5" s="96">
        <v>0.1182</v>
      </c>
      <c r="D5" s="96">
        <v>0.13100000000000001</v>
      </c>
      <c r="E5" s="96">
        <v>7.1999999999999995E-2</v>
      </c>
      <c r="F5" s="96">
        <v>7.8E-2</v>
      </c>
      <c r="G5" s="96">
        <v>0.1512</v>
      </c>
      <c r="H5" s="101">
        <f t="shared" si="0"/>
        <v>0.11008</v>
      </c>
    </row>
    <row r="6" spans="1:8" ht="36.75" customHeight="1" x14ac:dyDescent="0.25">
      <c r="A6" s="159"/>
      <c r="B6" s="41" t="s">
        <v>4</v>
      </c>
      <c r="C6" s="96">
        <v>0.2762</v>
      </c>
      <c r="D6" s="96">
        <v>4.3999999999999997E-2</v>
      </c>
      <c r="E6" s="96">
        <v>0.16700000000000001</v>
      </c>
      <c r="F6" s="96">
        <v>0.34100000000000003</v>
      </c>
      <c r="G6" s="96">
        <v>7.5200000000000003E-2</v>
      </c>
      <c r="H6" s="101">
        <f t="shared" si="0"/>
        <v>0.18068000000000001</v>
      </c>
    </row>
    <row r="7" spans="1:8" ht="26.25" customHeight="1" thickBot="1" x14ac:dyDescent="0.3">
      <c r="A7" s="160"/>
      <c r="B7" s="42" t="s">
        <v>5</v>
      </c>
      <c r="C7" s="96">
        <v>0.1182</v>
      </c>
      <c r="D7" s="96">
        <v>0.27400000000000002</v>
      </c>
      <c r="E7" s="96">
        <v>0.68899999999999995</v>
      </c>
      <c r="F7" s="96">
        <v>0.13700000000000001</v>
      </c>
      <c r="G7" s="96">
        <v>0.26529999999999998</v>
      </c>
      <c r="H7" s="101">
        <f t="shared" si="0"/>
        <v>0.29669999999999996</v>
      </c>
    </row>
    <row r="8" spans="1:8" ht="39.75" customHeight="1" thickBot="1" x14ac:dyDescent="0.3">
      <c r="A8" s="134" t="s">
        <v>6</v>
      </c>
      <c r="B8" s="88" t="s">
        <v>6</v>
      </c>
      <c r="C8" s="97">
        <v>4.9500000000000002E-2</v>
      </c>
      <c r="D8" s="97">
        <v>8.1299999999999997E-2</v>
      </c>
      <c r="E8" s="97">
        <v>3.1E-2</v>
      </c>
      <c r="F8" s="97">
        <v>6.2E-2</v>
      </c>
      <c r="G8" s="97">
        <v>0.10199999999999999</v>
      </c>
      <c r="H8" s="100">
        <f t="shared" si="0"/>
        <v>6.5159999999999996E-2</v>
      </c>
    </row>
    <row r="9" spans="1:8" ht="36.75" customHeight="1" x14ac:dyDescent="0.25">
      <c r="A9" s="135"/>
      <c r="B9" s="89" t="s">
        <v>7</v>
      </c>
      <c r="C9" s="96">
        <v>0.42859999999999998</v>
      </c>
      <c r="D9" s="96">
        <v>0.63700000000000001</v>
      </c>
      <c r="E9" s="96">
        <v>0.188</v>
      </c>
      <c r="F9" s="96">
        <v>0.64900000000000002</v>
      </c>
      <c r="G9" s="96">
        <v>0.63700000000000001</v>
      </c>
      <c r="H9" s="101">
        <f t="shared" si="0"/>
        <v>0.50792000000000004</v>
      </c>
    </row>
    <row r="10" spans="1:8" ht="36.75" hidden="1" customHeight="1" x14ac:dyDescent="0.25">
      <c r="A10" s="135"/>
      <c r="B10" s="90" t="s">
        <v>8</v>
      </c>
      <c r="C10" s="96"/>
      <c r="D10" s="96"/>
      <c r="E10" s="96"/>
      <c r="F10" s="96"/>
      <c r="G10" s="96"/>
      <c r="H10" s="101">
        <f t="shared" si="0"/>
        <v>0</v>
      </c>
    </row>
    <row r="11" spans="1:8" ht="36.75" customHeight="1" x14ac:dyDescent="0.25">
      <c r="A11" s="135"/>
      <c r="B11" s="90" t="s">
        <v>120</v>
      </c>
      <c r="C11" s="96">
        <v>0.42859999999999998</v>
      </c>
      <c r="D11" s="96">
        <v>0.25800000000000001</v>
      </c>
      <c r="E11" s="96">
        <v>0.73099999999999998</v>
      </c>
      <c r="F11" s="96">
        <v>0.27900000000000003</v>
      </c>
      <c r="G11" s="96">
        <v>0.25800000000000001</v>
      </c>
      <c r="H11" s="101">
        <f t="shared" si="0"/>
        <v>0.39092000000000005</v>
      </c>
    </row>
    <row r="12" spans="1:8" ht="36.75" customHeight="1" thickBot="1" x14ac:dyDescent="0.3">
      <c r="A12" s="136"/>
      <c r="B12" s="91" t="s">
        <v>114</v>
      </c>
      <c r="C12" s="96">
        <v>0.14280000000000001</v>
      </c>
      <c r="D12" s="96">
        <v>0.105</v>
      </c>
      <c r="E12" s="96">
        <v>8.1000000000000003E-2</v>
      </c>
      <c r="F12" s="96">
        <v>7.1999999999999995E-2</v>
      </c>
      <c r="G12" s="96">
        <v>0.105</v>
      </c>
      <c r="H12" s="101">
        <f t="shared" si="0"/>
        <v>0.10116</v>
      </c>
    </row>
    <row r="13" spans="1:8" ht="36.75" customHeight="1" thickBot="1" x14ac:dyDescent="0.3">
      <c r="A13" s="137" t="s">
        <v>9</v>
      </c>
      <c r="B13" s="92" t="s">
        <v>9</v>
      </c>
      <c r="C13" s="97">
        <v>0.36480000000000001</v>
      </c>
      <c r="D13" s="97">
        <v>0.1638</v>
      </c>
      <c r="E13" s="97">
        <v>0.13900000000000001</v>
      </c>
      <c r="F13" s="97">
        <v>0.39100000000000001</v>
      </c>
      <c r="G13" s="97">
        <v>0.33700000000000002</v>
      </c>
      <c r="H13" s="100">
        <f t="shared" si="0"/>
        <v>0.27911999999999998</v>
      </c>
    </row>
    <row r="14" spans="1:8" ht="36.75" customHeight="1" x14ac:dyDescent="0.25">
      <c r="A14" s="138"/>
      <c r="B14" s="93" t="s">
        <v>103</v>
      </c>
      <c r="C14" s="96">
        <v>0.375</v>
      </c>
      <c r="D14" s="96">
        <v>0.125</v>
      </c>
      <c r="E14" s="96">
        <v>0.55800000000000005</v>
      </c>
      <c r="F14" s="96">
        <v>8.3000000000000004E-2</v>
      </c>
      <c r="G14" s="96">
        <v>0.50829999999999997</v>
      </c>
      <c r="H14" s="101">
        <f t="shared" si="0"/>
        <v>0.32985999999999999</v>
      </c>
    </row>
    <row r="15" spans="1:8" ht="36.75" customHeight="1" x14ac:dyDescent="0.25">
      <c r="A15" s="138"/>
      <c r="B15" s="94" t="s">
        <v>104</v>
      </c>
      <c r="C15" s="96">
        <v>0.375</v>
      </c>
      <c r="D15" s="96">
        <v>0.125</v>
      </c>
      <c r="E15" s="96">
        <v>0.113</v>
      </c>
      <c r="F15" s="96">
        <v>8.3000000000000004E-2</v>
      </c>
      <c r="G15" s="96">
        <v>0.1512</v>
      </c>
      <c r="H15" s="101">
        <f t="shared" si="0"/>
        <v>0.16943999999999998</v>
      </c>
    </row>
    <row r="16" spans="1:8" ht="55.5" customHeight="1" x14ac:dyDescent="0.25">
      <c r="A16" s="138"/>
      <c r="B16" s="94" t="s">
        <v>117</v>
      </c>
      <c r="C16" s="96">
        <v>0.125</v>
      </c>
      <c r="D16" s="96">
        <v>0.375</v>
      </c>
      <c r="E16" s="96">
        <v>0.27900000000000003</v>
      </c>
      <c r="F16" s="96">
        <v>0.41699999999999998</v>
      </c>
      <c r="G16" s="96">
        <v>0.26529999999999998</v>
      </c>
      <c r="H16" s="101">
        <f t="shared" si="0"/>
        <v>0.29226000000000002</v>
      </c>
    </row>
    <row r="17" spans="1:9" ht="18.75" thickBot="1" x14ac:dyDescent="0.3">
      <c r="A17" s="139"/>
      <c r="B17" s="95" t="s">
        <v>111</v>
      </c>
      <c r="C17" s="96">
        <v>0.125</v>
      </c>
      <c r="D17" s="96">
        <v>0.375</v>
      </c>
      <c r="E17" s="96">
        <v>0.05</v>
      </c>
      <c r="F17" s="96">
        <v>0.41699999999999998</v>
      </c>
      <c r="G17" s="96">
        <v>7.5200000000000003E-2</v>
      </c>
      <c r="H17" s="101">
        <f t="shared" si="0"/>
        <v>0.20844000000000001</v>
      </c>
    </row>
    <row r="18" spans="1:9" ht="29.25" customHeight="1" thickBot="1" x14ac:dyDescent="0.3">
      <c r="A18" s="161" t="s">
        <v>10</v>
      </c>
      <c r="B18" s="85" t="s">
        <v>10</v>
      </c>
      <c r="C18" s="97">
        <v>0.20449999999999999</v>
      </c>
      <c r="D18" s="97">
        <v>4.24E-2</v>
      </c>
      <c r="E18" s="97">
        <v>0.628</v>
      </c>
      <c r="F18" s="97">
        <v>0.40699999999999997</v>
      </c>
      <c r="G18" s="97">
        <v>0.24399999999999999</v>
      </c>
      <c r="H18" s="100">
        <f t="shared" si="0"/>
        <v>0.30518000000000001</v>
      </c>
    </row>
    <row r="19" spans="1:9" ht="36.75" customHeight="1" x14ac:dyDescent="0.25">
      <c r="A19" s="162"/>
      <c r="B19" s="46" t="s">
        <v>82</v>
      </c>
      <c r="C19" s="96">
        <v>0.41310000000000002</v>
      </c>
      <c r="D19" s="96">
        <v>0.14599999999999999</v>
      </c>
      <c r="E19" s="96">
        <v>0.62229999999999996</v>
      </c>
      <c r="F19" s="96">
        <v>0.62080000000000002</v>
      </c>
      <c r="G19" s="96">
        <v>0.54949999999999999</v>
      </c>
      <c r="H19" s="101">
        <f t="shared" si="0"/>
        <v>0.47034000000000004</v>
      </c>
    </row>
    <row r="20" spans="1:9" ht="36.75" customHeight="1" x14ac:dyDescent="0.25">
      <c r="A20" s="162"/>
      <c r="B20" s="47" t="s">
        <v>83</v>
      </c>
      <c r="C20" s="96">
        <v>0.10639999999999999</v>
      </c>
      <c r="D20" s="96">
        <v>9.2999999999999999E-2</v>
      </c>
      <c r="E20" s="96">
        <v>6.0299999999999999E-2</v>
      </c>
      <c r="F20" s="96">
        <v>0.16539999999999999</v>
      </c>
      <c r="G20" s="96">
        <v>0.24759999999999999</v>
      </c>
      <c r="H20" s="101">
        <f t="shared" si="0"/>
        <v>0.13453999999999999</v>
      </c>
    </row>
    <row r="21" spans="1:9" ht="45" x14ac:dyDescent="0.25">
      <c r="A21" s="162"/>
      <c r="B21" s="47" t="s">
        <v>84</v>
      </c>
      <c r="C21" s="96">
        <v>0.1201</v>
      </c>
      <c r="D21" s="96">
        <v>0.34599999999999997</v>
      </c>
      <c r="E21" s="96">
        <v>0.11550000000000001</v>
      </c>
      <c r="F21" s="96">
        <v>0.16539999999999999</v>
      </c>
      <c r="G21" s="96">
        <v>7.3599999999999999E-2</v>
      </c>
      <c r="H21" s="101">
        <f t="shared" si="0"/>
        <v>0.16411999999999999</v>
      </c>
    </row>
    <row r="22" spans="1:9" ht="69" customHeight="1" thickBot="1" x14ac:dyDescent="0.3">
      <c r="A22" s="163"/>
      <c r="B22" s="48" t="s">
        <v>11</v>
      </c>
      <c r="C22" s="96">
        <v>0.3604</v>
      </c>
      <c r="D22" s="96">
        <v>0.41499999999999998</v>
      </c>
      <c r="E22" s="96">
        <v>0.2019</v>
      </c>
      <c r="F22" s="96">
        <v>4.8399999999999999E-2</v>
      </c>
      <c r="G22" s="96">
        <v>0.1293</v>
      </c>
      <c r="H22" s="101">
        <f t="shared" si="0"/>
        <v>0.23100000000000001</v>
      </c>
    </row>
    <row r="23" spans="1:9" ht="44.25" customHeight="1" thickBot="1" x14ac:dyDescent="0.3">
      <c r="A23" s="143" t="s">
        <v>12</v>
      </c>
      <c r="B23" s="86" t="s">
        <v>12</v>
      </c>
      <c r="C23" s="97">
        <v>0.14849999999999999</v>
      </c>
      <c r="D23" s="97">
        <v>0.39539999999999997</v>
      </c>
      <c r="E23" s="97">
        <v>5.3999999999999999E-2</v>
      </c>
      <c r="F23" s="97">
        <v>4.2999999999999997E-2</v>
      </c>
      <c r="G23" s="97">
        <v>7.0000000000000007E-2</v>
      </c>
      <c r="H23" s="100">
        <f t="shared" si="0"/>
        <v>0.14218000000000003</v>
      </c>
    </row>
    <row r="24" spans="1:9" ht="30" x14ac:dyDescent="0.25">
      <c r="A24" s="144"/>
      <c r="B24" s="49" t="s">
        <v>13</v>
      </c>
      <c r="C24" s="96">
        <v>0.6</v>
      </c>
      <c r="D24" s="96">
        <v>8.1000000000000003E-2</v>
      </c>
      <c r="E24" s="96">
        <v>6.3E-2</v>
      </c>
      <c r="F24" s="96">
        <v>0.105</v>
      </c>
      <c r="G24" s="96">
        <v>0.63700000000000001</v>
      </c>
      <c r="H24" s="101">
        <f t="shared" si="0"/>
        <v>0.29720000000000002</v>
      </c>
    </row>
    <row r="25" spans="1:9" x14ac:dyDescent="0.25">
      <c r="A25" s="144"/>
      <c r="B25" s="50" t="s">
        <v>14</v>
      </c>
      <c r="C25" s="96">
        <v>0.2</v>
      </c>
      <c r="D25" s="96">
        <v>0.73099999999999998</v>
      </c>
      <c r="E25" s="96">
        <v>0.67200000000000004</v>
      </c>
      <c r="F25" s="96">
        <v>0.63700000000000001</v>
      </c>
      <c r="G25" s="96">
        <v>0.25800000000000001</v>
      </c>
      <c r="H25" s="101">
        <f t="shared" si="0"/>
        <v>0.49960000000000004</v>
      </c>
      <c r="I25" s="116">
        <f>H25/(H26+H25)</f>
        <v>0.7108708025042686</v>
      </c>
    </row>
    <row r="26" spans="1:9" ht="36.75" customHeight="1" thickBot="1" x14ac:dyDescent="0.3">
      <c r="A26" s="145"/>
      <c r="B26" s="51" t="s">
        <v>85</v>
      </c>
      <c r="C26" s="96">
        <v>0.2</v>
      </c>
      <c r="D26" s="96">
        <v>0.188</v>
      </c>
      <c r="E26" s="96">
        <v>0.26500000000000001</v>
      </c>
      <c r="F26" s="96">
        <v>0.25800000000000001</v>
      </c>
      <c r="G26" s="96">
        <v>0.105</v>
      </c>
      <c r="H26" s="101">
        <f t="shared" si="0"/>
        <v>0.20319999999999999</v>
      </c>
      <c r="I26" s="116">
        <f>H26/(H25+H26)</f>
        <v>0.28912919749573129</v>
      </c>
    </row>
    <row r="27" spans="1:9" x14ac:dyDescent="0.25">
      <c r="A27" s="1"/>
    </row>
    <row r="28" spans="1:9" x14ac:dyDescent="0.25">
      <c r="A28" s="1"/>
    </row>
  </sheetData>
  <mergeCells count="5">
    <mergeCell ref="A3:A7"/>
    <mergeCell ref="A8:A12"/>
    <mergeCell ref="A13:A17"/>
    <mergeCell ref="A18:A22"/>
    <mergeCell ref="A23:A26"/>
  </mergeCells>
  <phoneticPr fontId="9" type="noConversion"/>
  <pageMargins left="0.511811024" right="0.511811024" top="0.78740157499999996" bottom="0.78740157499999996" header="0.31496062000000002" footer="0.3149606200000000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63CAC-62F0-471A-8E93-5F1076508F7B}">
  <dimension ref="A1:AJ8"/>
  <sheetViews>
    <sheetView zoomScale="115" zoomScaleNormal="115" workbookViewId="0">
      <pane xSplit="1" ySplit="2" topLeftCell="B3" activePane="bottomRight" state="frozen"/>
      <selection pane="topRight" activeCell="D1" sqref="D1"/>
      <selection pane="bottomLeft" activeCell="A3" sqref="A3"/>
      <selection pane="bottomRight" activeCell="AG2" sqref="AG2"/>
    </sheetView>
  </sheetViews>
  <sheetFormatPr defaultRowHeight="15" x14ac:dyDescent="0.25"/>
  <cols>
    <col min="1" max="1" width="34.5703125" customWidth="1"/>
    <col min="2" max="36" width="14.28515625" customWidth="1"/>
    <col min="37" max="37" width="10.7109375" bestFit="1" customWidth="1"/>
  </cols>
  <sheetData>
    <row r="1" spans="1:36" s="4" customFormat="1" x14ac:dyDescent="0.25">
      <c r="A1" s="149"/>
      <c r="B1" s="11" t="s">
        <v>15</v>
      </c>
      <c r="C1" s="10" t="s">
        <v>49</v>
      </c>
      <c r="D1" s="10" t="s">
        <v>50</v>
      </c>
      <c r="E1" s="10" t="s">
        <v>51</v>
      </c>
      <c r="F1" s="10" t="s">
        <v>52</v>
      </c>
      <c r="G1" s="10" t="s">
        <v>53</v>
      </c>
      <c r="H1" s="10" t="s">
        <v>54</v>
      </c>
      <c r="I1" s="10" t="s">
        <v>55</v>
      </c>
      <c r="J1" s="10" t="s">
        <v>56</v>
      </c>
      <c r="K1" s="10" t="s">
        <v>57</v>
      </c>
      <c r="L1" s="10" t="s">
        <v>58</v>
      </c>
      <c r="M1" s="10" t="s">
        <v>59</v>
      </c>
      <c r="N1" s="10" t="s">
        <v>171</v>
      </c>
      <c r="O1" s="10" t="s">
        <v>60</v>
      </c>
      <c r="P1" s="10" t="s">
        <v>61</v>
      </c>
      <c r="Q1" s="10" t="s">
        <v>62</v>
      </c>
      <c r="R1" s="10" t="s">
        <v>63</v>
      </c>
      <c r="S1" s="10" t="s">
        <v>64</v>
      </c>
      <c r="T1" s="10" t="s">
        <v>65</v>
      </c>
      <c r="U1" s="10" t="s">
        <v>66</v>
      </c>
      <c r="V1" s="10" t="s">
        <v>67</v>
      </c>
      <c r="W1" s="10" t="s">
        <v>68</v>
      </c>
      <c r="X1" s="10" t="s">
        <v>69</v>
      </c>
      <c r="Y1" s="10" t="s">
        <v>70</v>
      </c>
      <c r="Z1" s="10" t="s">
        <v>71</v>
      </c>
      <c r="AA1" s="10" t="s">
        <v>72</v>
      </c>
      <c r="AB1" s="10" t="s">
        <v>73</v>
      </c>
      <c r="AC1" s="10" t="s">
        <v>74</v>
      </c>
      <c r="AD1" s="10" t="s">
        <v>75</v>
      </c>
      <c r="AE1" s="10" t="s">
        <v>76</v>
      </c>
      <c r="AF1" s="10" t="s">
        <v>77</v>
      </c>
      <c r="AG1" s="10" t="s">
        <v>78</v>
      </c>
      <c r="AH1" s="10" t="s">
        <v>79</v>
      </c>
      <c r="AI1" s="10" t="s">
        <v>80</v>
      </c>
      <c r="AJ1" s="10" t="s">
        <v>81</v>
      </c>
    </row>
    <row r="2" spans="1:36" s="3" customFormat="1" ht="33" customHeight="1" x14ac:dyDescent="0.25">
      <c r="A2" s="150"/>
      <c r="B2" s="30" t="s">
        <v>16</v>
      </c>
      <c r="C2" s="31" t="s">
        <v>17</v>
      </c>
      <c r="D2" s="31" t="s">
        <v>18</v>
      </c>
      <c r="E2" s="31" t="s">
        <v>19</v>
      </c>
      <c r="F2" s="31" t="s">
        <v>20</v>
      </c>
      <c r="G2" s="31" t="s">
        <v>21</v>
      </c>
      <c r="H2" s="31" t="s">
        <v>22</v>
      </c>
      <c r="I2" s="31" t="s">
        <v>23</v>
      </c>
      <c r="J2" s="31" t="s">
        <v>24</v>
      </c>
      <c r="K2" s="31" t="s">
        <v>25</v>
      </c>
      <c r="L2" s="31" t="s">
        <v>26</v>
      </c>
      <c r="M2" s="31" t="s">
        <v>27</v>
      </c>
      <c r="N2" s="31" t="s">
        <v>28</v>
      </c>
      <c r="O2" s="31" t="s">
        <v>29</v>
      </c>
      <c r="P2" s="31" t="s">
        <v>30</v>
      </c>
      <c r="Q2" s="31" t="s">
        <v>31</v>
      </c>
      <c r="R2" s="31" t="s">
        <v>32</v>
      </c>
      <c r="S2" s="31" t="s">
        <v>33</v>
      </c>
      <c r="T2" s="31" t="s">
        <v>34</v>
      </c>
      <c r="U2" s="31" t="s">
        <v>35</v>
      </c>
      <c r="V2" s="31" t="s">
        <v>36</v>
      </c>
      <c r="W2" s="31" t="s">
        <v>37</v>
      </c>
      <c r="X2" s="31" t="s">
        <v>38</v>
      </c>
      <c r="Y2" s="31" t="s">
        <v>39</v>
      </c>
      <c r="Z2" s="31" t="s">
        <v>40</v>
      </c>
      <c r="AA2" s="31" t="s">
        <v>41</v>
      </c>
      <c r="AB2" s="31" t="s">
        <v>42</v>
      </c>
      <c r="AC2" s="31" t="s">
        <v>43</v>
      </c>
      <c r="AD2" s="31" t="s">
        <v>96</v>
      </c>
      <c r="AE2" s="31" t="s">
        <v>44</v>
      </c>
      <c r="AF2" s="31" t="s">
        <v>45</v>
      </c>
      <c r="AG2" s="31" t="s">
        <v>172</v>
      </c>
      <c r="AH2" s="31" t="s">
        <v>46</v>
      </c>
      <c r="AI2" s="31" t="s">
        <v>47</v>
      </c>
      <c r="AJ2" s="31" t="s">
        <v>48</v>
      </c>
    </row>
    <row r="3" spans="1:36" ht="18.75" x14ac:dyDescent="0.3">
      <c r="A3" s="102" t="s">
        <v>1</v>
      </c>
      <c r="B3" s="103">
        <f>Resultados!D5*Pesos!$H$4+Resultados!D6*Pesos!$H$5+Resultados!D7*Pesos!$H$6+Resultados!D8*Pesos!$H$7</f>
        <v>0.77779562999999996</v>
      </c>
      <c r="C3" s="103">
        <f>Resultados!E5*Pesos!$H$4+Resultados!E6*Pesos!$H$5+Resultados!E7*Pesos!$H$6+Resultados!E8*Pesos!$H$7</f>
        <v>0.64280691999999995</v>
      </c>
      <c r="D3" s="103">
        <f>Resultados!F5*Pesos!$H$4+Resultados!F6*Pesos!$H$5+Resultados!F7*Pesos!$H$6+Resultados!F8*Pesos!$H$7</f>
        <v>0.69403934</v>
      </c>
      <c r="E3" s="103">
        <f>Resultados!G5*Pesos!$H$4+Resultados!G6*Pesos!$H$5+Resultados!G7*Pesos!$H$6+Resultados!G8*Pesos!$H$7</f>
        <v>0.646326505</v>
      </c>
      <c r="F3" s="103">
        <f>Resultados!H5*Pesos!$H$4+Resultados!H6*Pesos!$H$5+Resultados!H7*Pesos!$H$6+Resultados!H8*Pesos!$H$7</f>
        <v>0.635318885</v>
      </c>
      <c r="G3" s="103">
        <f>Resultados!I5*Pesos!$H$4+Resultados!I6*Pesos!$H$5+Resultados!I7*Pesos!$H$6+Resultados!I8*Pesos!$H$7</f>
        <v>0.34382539000000001</v>
      </c>
      <c r="H3" s="103">
        <f>Resultados!J5*Pesos!$H$4+Resultados!J6*Pesos!$H$5+Resultados!J7*Pesos!$H$6+Resultados!J8*Pesos!$H$7</f>
        <v>0.71726882500000011</v>
      </c>
      <c r="I3" s="103">
        <f>Resultados!K5*Pesos!$H$4+Resultados!K6*Pesos!$H$5+Resultados!K7*Pesos!$H$6+Resultados!K8*Pesos!$H$7</f>
        <v>0.62265356000000005</v>
      </c>
      <c r="J3" s="103">
        <f>Resultados!L5*Pesos!$H$4+Resultados!L6*Pesos!$H$5+Resultados!L7*Pesos!$H$6+Resultados!L8*Pesos!$H$7</f>
        <v>0.71719686999999999</v>
      </c>
      <c r="K3" s="103">
        <f>Resultados!M5*Pesos!$H$4+Resultados!M6*Pesos!$H$5+Resultados!M7*Pesos!$H$6+Resultados!M8*Pesos!$H$7</f>
        <v>0.64761148499999999</v>
      </c>
      <c r="L3" s="103">
        <f>Resultados!N5*Pesos!$H$4+Resultados!N6*Pesos!$H$5+Resultados!N7*Pesos!$H$6+Resultados!N8*Pesos!$H$7</f>
        <v>0.70440694500000012</v>
      </c>
      <c r="M3" s="103">
        <f>Resultados!O5*Pesos!$H$4+Resultados!O6*Pesos!$H$5+Resultados!O7*Pesos!$H$6+Resultados!O8*Pesos!$H$7</f>
        <v>0.66246691000000002</v>
      </c>
      <c r="N3" s="103">
        <f>Resultados!P5*Pesos!$H$4+Resultados!P6*Pesos!$H$5+Resultados!P7*Pesos!$H$6+Resultados!P8*Pesos!$H$7</f>
        <v>0.66450627000000007</v>
      </c>
      <c r="O3" s="103">
        <f>Resultados!Q5*Pesos!$H$4+Resultados!Q6*Pesos!$H$5+Resultados!Q7*Pesos!$H$6+Resultados!Q8*Pesos!$H$7</f>
        <v>0.50703099500000004</v>
      </c>
      <c r="P3" s="103">
        <f>Resultados!R5*Pesos!$H$4+Resultados!R6*Pesos!$H$5+Resultados!R7*Pesos!$H$6+Resultados!R8*Pesos!$H$7</f>
        <v>0.58336840500000009</v>
      </c>
      <c r="Q3" s="103">
        <f>Resultados!S5*Pesos!$H$4+Resultados!S6*Pesos!$H$5+Resultados!S7*Pesos!$H$6+Resultados!S8*Pesos!$H$7</f>
        <v>0.69076873500000002</v>
      </c>
      <c r="R3" s="103">
        <f>Resultados!T5*Pesos!$H$4+Resultados!T6*Pesos!$H$5+Resultados!T7*Pesos!$H$6+Resultados!T8*Pesos!$H$7</f>
        <v>0.69083377000000001</v>
      </c>
      <c r="S3" s="103">
        <f>Resultados!U5*Pesos!$H$4+Resultados!U6*Pesos!$H$5+Resultados!U7*Pesos!$H$6+Resultados!U8*Pesos!$H$7</f>
        <v>0.55357906000000001</v>
      </c>
      <c r="T3" s="103">
        <f>Resultados!V5*Pesos!$H$4+Resultados!V6*Pesos!$H$5+Resultados!V7*Pesos!$H$6+Resultados!V8*Pesos!$H$7</f>
        <v>0.6593966</v>
      </c>
      <c r="U3" s="103">
        <f>Resultados!W5*Pesos!$H$4+Resultados!W6*Pesos!$H$5+Resultados!W7*Pesos!$H$6+Resultados!W8*Pesos!$H$7</f>
        <v>0.82751446499999992</v>
      </c>
      <c r="V3" s="103">
        <f>Resultados!X5*Pesos!$H$4+Resultados!X6*Pesos!$H$5+Resultados!X7*Pesos!$H$6+Resultados!X8*Pesos!$H$7</f>
        <v>0.75883447500000001</v>
      </c>
      <c r="W3" s="103">
        <f>Resultados!Y5*Pesos!$H$4+Resultados!Y6*Pesos!$H$5+Resultados!Y7*Pesos!$H$6+Resultados!Y8*Pesos!$H$7</f>
        <v>0.80846217000000009</v>
      </c>
      <c r="X3" s="103">
        <f>Resultados!Z5*Pesos!$H$4+Resultados!Z6*Pesos!$H$5+Resultados!Z7*Pesos!$H$6+Resultados!Z8*Pesos!$H$7</f>
        <v>0.56374321500000002</v>
      </c>
      <c r="Y3" s="103">
        <f>Resultados!AA5*Pesos!$H$4+Resultados!AA6*Pesos!$H$5+Resultados!AA7*Pesos!$H$6+Resultados!AA8*Pesos!$H$7</f>
        <v>0.54556700999999996</v>
      </c>
      <c r="Z3" s="103">
        <f>Resultados!AB5*Pesos!$H$4+Resultados!AB6*Pesos!$H$5+Resultados!AB7*Pesos!$H$6+Resultados!AB8*Pesos!$H$7</f>
        <v>0.44021503499999998</v>
      </c>
      <c r="AA3" s="103">
        <f>Resultados!AC5*Pesos!$H$4+Resultados!AC6*Pesos!$H$5+Resultados!AC7*Pesos!$H$6+Resultados!AC8*Pesos!$H$7</f>
        <v>0.37886684500000001</v>
      </c>
      <c r="AB3" s="103">
        <f>Resultados!AD5*Pesos!$H$4+Resultados!AD6*Pesos!$H$5+Resultados!AD7*Pesos!$H$6+Resultados!AD8*Pesos!$H$7</f>
        <v>0.67786735499999995</v>
      </c>
      <c r="AC3" s="103">
        <f>Resultados!AE5*Pesos!$H$4+Resultados!AE6*Pesos!$H$5+Resultados!AE7*Pesos!$H$6+Resultados!AE8*Pesos!$H$7</f>
        <v>0.63674856000000002</v>
      </c>
      <c r="AD3" s="103">
        <f>Resultados!AF5*Pesos!$H$4+Resultados!AF6*Pesos!$H$5+Resultados!AF7*Pesos!$H$6+Resultados!AF8*Pesos!$H$7</f>
        <v>0.36000341999999996</v>
      </c>
      <c r="AE3" s="103">
        <f>Resultados!AG5*Pesos!$H$4+Resultados!AG6*Pesos!$H$5+Resultados!AG7*Pesos!$H$6+Resultados!AG8*Pesos!$H$7</f>
        <v>0.522958645</v>
      </c>
      <c r="AF3" s="103">
        <f>Resultados!AH5*Pesos!$H$4+Resultados!AH6*Pesos!$H$5+Resultados!AH7*Pesos!$H$6+Resultados!AH8*Pesos!$H$7</f>
        <v>0.28688462999999997</v>
      </c>
      <c r="AG3" s="103">
        <f>Resultados!AI5*Pesos!$H$4+Resultados!AI6*Pesos!$H$5+Resultados!AI7*Pesos!$H$6+Resultados!AI8*Pesos!$H$7</f>
        <v>0.40036253999999999</v>
      </c>
      <c r="AH3" s="103">
        <f>Resultados!AJ5*Pesos!$H$4+Resultados!AJ6*Pesos!$H$5+Resultados!AJ7*Pesos!$H$6+Resultados!AJ8*Pesos!$H$7</f>
        <v>0.50227591999999999</v>
      </c>
      <c r="AI3" s="103">
        <f>Resultados!AK5*Pesos!$H$4+Resultados!AK6*Pesos!$H$5+Resultados!AK7*Pesos!$H$6+Resultados!AK8*Pesos!$H$7</f>
        <v>0.27657685500000001</v>
      </c>
      <c r="AJ3" s="103">
        <f>Resultados!AL5*Pesos!$H$4+Resultados!AL6*Pesos!$H$5+Resultados!AL7*Pesos!$H$6+Resultados!AL8*Pesos!$H$7</f>
        <v>0.34889432500000006</v>
      </c>
    </row>
    <row r="4" spans="1:36" ht="18.75" x14ac:dyDescent="0.3">
      <c r="A4" s="102" t="s">
        <v>6</v>
      </c>
      <c r="B4" s="103">
        <f>Resultados!D9*Pesos!$H$9+Resultados!D14*Pesos!$H$11+Resultados!D17*Pesos!$H$12</f>
        <v>0.58237254460535748</v>
      </c>
      <c r="C4" s="103">
        <f>Resultados!E9*Pesos!$H$9+Resultados!E14*Pesos!$H$11+Resultados!E17*Pesos!$H$12</f>
        <v>0.32379486089219434</v>
      </c>
      <c r="D4" s="103">
        <f>Resultados!F9*Pesos!$H$9+Resultados!F14*Pesos!$H$11+Resultados!F17*Pesos!$H$12</f>
        <v>0.23468653179393315</v>
      </c>
      <c r="E4" s="103">
        <f>Resultados!G9*Pesos!$H$9+Resultados!G14*Pesos!$H$11+Resultados!G17*Pesos!$H$12</f>
        <v>0.11212766940128666</v>
      </c>
      <c r="F4" s="103">
        <f>Resultados!H9*Pesos!$H$9+Resultados!H14*Pesos!$H$11+Resultados!H17*Pesos!$H$12</f>
        <v>0.16322107429024188</v>
      </c>
      <c r="G4" s="103">
        <f>Resultados!I9*Pesos!$H$9+Resultados!I14*Pesos!$H$11+Resultados!I17*Pesos!$H$12</f>
        <v>0.11864323886260744</v>
      </c>
      <c r="H4" s="103">
        <f>Resultados!J9*Pesos!$H$9+Resultados!J14*Pesos!$H$11+Resultados!J17*Pesos!$H$12</f>
        <v>0.39685516974894702</v>
      </c>
      <c r="I4" s="103">
        <f>Resultados!K9*Pesos!$H$9+Resultados!K14*Pesos!$H$11+Resultados!K17*Pesos!$H$12</f>
        <v>0.59150555506206037</v>
      </c>
      <c r="J4" s="103">
        <f>Resultados!L9*Pesos!$H$9+Resultados!L14*Pesos!$H$11+Resultados!L17*Pesos!$H$12</f>
        <v>0.43259091447014619</v>
      </c>
      <c r="K4" s="103">
        <f>Resultados!M9*Pesos!$H$9+Resultados!M14*Pesos!$H$11+Resultados!M17*Pesos!$H$12</f>
        <v>0.56523878880686684</v>
      </c>
      <c r="L4" s="103">
        <f>Resultados!N9*Pesos!$H$9+Resultados!N14*Pesos!$H$11+Resultados!N17*Pesos!$H$12</f>
        <v>0.36417864</v>
      </c>
      <c r="M4" s="103">
        <f>Resultados!O9*Pesos!$H$9+Resultados!O14*Pesos!$H$11+Resultados!O17*Pesos!$H$12</f>
        <v>0.31718616189744087</v>
      </c>
      <c r="N4" s="103">
        <f>Resultados!P9*Pesos!$H$9+Resultados!P14*Pesos!$H$11+Resultados!P17*Pesos!$H$12</f>
        <v>0.38792094466935201</v>
      </c>
      <c r="O4" s="103">
        <f>Resultados!Q9*Pesos!$H$9+Resultados!Q14*Pesos!$H$11+Resultados!Q17*Pesos!$H$12</f>
        <v>0.21263304569854968</v>
      </c>
      <c r="P4" s="103">
        <f>Resultados!R9*Pesos!$H$9+Resultados!R14*Pesos!$H$11+Resultados!R17*Pesos!$H$12</f>
        <v>0.42715464661997848</v>
      </c>
      <c r="Q4" s="103">
        <f>Resultados!S9*Pesos!$H$9+Resultados!S14*Pesos!$H$11+Resultados!S17*Pesos!$H$12</f>
        <v>0.49108710798430022</v>
      </c>
      <c r="R4" s="103">
        <f>Resultados!T9*Pesos!$H$9+Resultados!T14*Pesos!$H$11+Resultados!T17*Pesos!$H$12</f>
        <v>0.25034693414936143</v>
      </c>
      <c r="S4" s="103">
        <f>Resultados!U9*Pesos!$H$9+Resultados!U14*Pesos!$H$11+Resultados!U17*Pesos!$H$12</f>
        <v>0.35095400120610676</v>
      </c>
      <c r="T4" s="103">
        <f>Resultados!V9*Pesos!$H$9+Resultados!V14*Pesos!$H$11+Resultados!V17*Pesos!$H$12</f>
        <v>0.40651641000637417</v>
      </c>
      <c r="U4" s="103">
        <f>Resultados!W9*Pesos!$H$9+Resultados!W14*Pesos!$H$11+Resultados!W17*Pesos!$H$12</f>
        <v>0.83433416000000005</v>
      </c>
      <c r="V4" s="103">
        <f>Resultados!X9*Pesos!$H$9+Resultados!X14*Pesos!$H$11+Resultados!X17*Pesos!$H$12</f>
        <v>0.5007369710748546</v>
      </c>
      <c r="W4" s="103">
        <f>Resultados!Y9*Pesos!$H$9+Resultados!Y14*Pesos!$H$11+Resultados!Y17*Pesos!$H$12</f>
        <v>0.841294202207021</v>
      </c>
      <c r="X4" s="103">
        <f>Resultados!Z9*Pesos!$H$9+Resultados!Z14*Pesos!$H$11+Resultados!Z17*Pesos!$H$12</f>
        <v>0.26198498977661355</v>
      </c>
      <c r="Y4" s="103">
        <f>Resultados!AA9*Pesos!$H$9+Resultados!AA14*Pesos!$H$11+Resultados!AA17*Pesos!$H$12</f>
        <v>0.46555953350458179</v>
      </c>
      <c r="Z4" s="103">
        <f>Resultados!AB9*Pesos!$H$9+Resultados!AB14*Pesos!$H$11+Resultados!AB17*Pesos!$H$12</f>
        <v>0.13927330418277856</v>
      </c>
      <c r="AA4" s="103">
        <f>Resultados!AC9*Pesos!$H$9+Resultados!AC14*Pesos!$H$11+Resultados!AC17*Pesos!$H$12</f>
        <v>0.11582386566916616</v>
      </c>
      <c r="AB4" s="103">
        <f>Resultados!AD9*Pesos!$H$9+Resultados!AD14*Pesos!$H$11+Resultados!AD17*Pesos!$H$12</f>
        <v>0.32567025708735281</v>
      </c>
      <c r="AC4" s="103">
        <f>Resultados!AE9*Pesos!$H$9+Resultados!AE14*Pesos!$H$11+Resultados!AE17*Pesos!$H$12</f>
        <v>0.2788653323180233</v>
      </c>
      <c r="AD4" s="103">
        <f>Resultados!AF9*Pesos!$H$9+Resultados!AF14*Pesos!$H$11+Resultados!AF17*Pesos!$H$12</f>
        <v>0.2155323159086025</v>
      </c>
      <c r="AE4" s="103">
        <f>Resultados!AG9*Pesos!$H$9+Resultados!AG14*Pesos!$H$11+Resultados!AG17*Pesos!$H$12</f>
        <v>0.22210951998596482</v>
      </c>
      <c r="AF4" s="103">
        <f>Resultados!AH9*Pesos!$H$9+Resultados!AH14*Pesos!$H$11+Resultados!AH17*Pesos!$H$12</f>
        <v>2.1049952668659951E-2</v>
      </c>
      <c r="AG4" s="103">
        <f>Resultados!AI9*Pesos!$H$9+Resultados!AI14*Pesos!$H$11+Resultados!AI17*Pesos!$H$12</f>
        <v>5.0792000000000004E-2</v>
      </c>
      <c r="AH4" s="103">
        <f>Resultados!AJ9*Pesos!$H$9+Resultados!AJ14*Pesos!$H$11+Resultados!AJ17*Pesos!$H$12</f>
        <v>0.18049262889513421</v>
      </c>
      <c r="AI4" s="103">
        <f>Resultados!AK9*Pesos!$H$9+Resultados!AK14*Pesos!$H$11+Resultados!AK17*Pesos!$H$12</f>
        <v>0.12385713243684683</v>
      </c>
      <c r="AJ4" s="103">
        <f>Resultados!AL9*Pesos!$H$9+Resultados!AL14*Pesos!$H$11+Resultados!AL17*Pesos!$H$12</f>
        <v>7.2632559999999999E-2</v>
      </c>
    </row>
    <row r="5" spans="1:36" ht="18.75" x14ac:dyDescent="0.3">
      <c r="A5" s="102" t="s">
        <v>149</v>
      </c>
      <c r="B5" s="103">
        <f>Resultados!D20*Pesos!$H$14+Resultados!D23*Pesos!$H$15+Resultados!D27*Pesos!$H$16+Resultados!D31*Pesos!$H$17</f>
        <v>0.17460559763262029</v>
      </c>
      <c r="C5" s="103">
        <f>Resultados!E20*Pesos!$H$14+Resultados!E23*Pesos!$H$15+Resultados!E27*Pesos!$H$16+Resultados!E31*Pesos!$H$17</f>
        <v>0.20976968814918651</v>
      </c>
      <c r="D5" s="103">
        <f>Resultados!F20*Pesos!$H$14+Resultados!F23*Pesos!$H$15+Resultados!F27*Pesos!$H$16+Resultados!F31*Pesos!$H$17</f>
        <v>0.36578880114193152</v>
      </c>
      <c r="E5" s="103">
        <f>Resultados!G20*Pesos!$H$14+Resultados!G23*Pesos!$H$15+Resultados!G27*Pesos!$H$16+Resultados!G31*Pesos!$H$17</f>
        <v>0.20350297279392529</v>
      </c>
      <c r="F5" s="103">
        <f>Resultados!H20*Pesos!$H$14+Resultados!H23*Pesos!$H$15+Resultados!H27*Pesos!$H$16+Resultados!H31*Pesos!$H$17</f>
        <v>0.20309946946781812</v>
      </c>
      <c r="G5" s="103">
        <f>Resultados!I20*Pesos!$H$14+Resultados!I23*Pesos!$H$15+Resultados!I27*Pesos!$H$16+Resultados!I31*Pesos!$H$17</f>
        <v>0.20296315028973874</v>
      </c>
      <c r="H5" s="103">
        <f>Resultados!J20*Pesos!$H$14+Resultados!J23*Pesos!$H$15+Resultados!J27*Pesos!$H$16+Resultados!J31*Pesos!$H$17</f>
        <v>0.27364417443448935</v>
      </c>
      <c r="I5" s="103">
        <f>Resultados!K20*Pesos!$H$14+Resultados!K23*Pesos!$H$15+Resultados!K27*Pesos!$H$16+Resultados!K31*Pesos!$H$17</f>
        <v>0.43180370663506984</v>
      </c>
      <c r="J5" s="103">
        <f>Resultados!L20*Pesos!$H$14+Resultados!L23*Pesos!$H$15+Resultados!L27*Pesos!$H$16+Resultados!L31*Pesos!$H$17</f>
        <v>0.33874576788167188</v>
      </c>
      <c r="K5" s="103">
        <f>Resultados!M20*Pesos!$H$14+Resultados!M23*Pesos!$H$15+Resultados!M27*Pesos!$H$16+Resultados!M31*Pesos!$H$17</f>
        <v>0.36124299881999994</v>
      </c>
      <c r="L5" s="103">
        <f>Resultados!N20*Pesos!$H$14+Resultados!N23*Pesos!$H$15+Resultados!N27*Pesos!$H$16+Resultados!N31*Pesos!$H$17</f>
        <v>0.38466852000000001</v>
      </c>
      <c r="M5" s="103">
        <f>Resultados!O20*Pesos!$H$14+Resultados!O23*Pesos!$H$15+Resultados!O27*Pesos!$H$16+Resultados!O31*Pesos!$H$17</f>
        <v>0.36551260596193563</v>
      </c>
      <c r="N5" s="103">
        <f>Resultados!P20*Pesos!$H$14+Resultados!P23*Pesos!$H$15+Resultados!P27*Pesos!$H$16+Resultados!P31*Pesos!$H$17</f>
        <v>0.36472279992584322</v>
      </c>
      <c r="O5" s="103">
        <f>Resultados!Q20*Pesos!$H$14+Resultados!Q23*Pesos!$H$15+Resultados!Q27*Pesos!$H$16+Resultados!Q31*Pesos!$H$17</f>
        <v>0.30589877707239488</v>
      </c>
      <c r="P5" s="103">
        <f>Resultados!R20*Pesos!$H$14+Resultados!R23*Pesos!$H$15+Resultados!R27*Pesos!$H$16+Resultados!R31*Pesos!$H$17</f>
        <v>0.33803070717100608</v>
      </c>
      <c r="Q5" s="103">
        <f>Resultados!S20*Pesos!$H$14+Resultados!S23*Pesos!$H$15+Resultados!S27*Pesos!$H$16+Resultados!S31*Pesos!$H$17</f>
        <v>0.12990184040924591</v>
      </c>
      <c r="R5" s="103">
        <f>Resultados!T20*Pesos!$H$14+Resultados!T23*Pesos!$H$15+Resultados!T27*Pesos!$H$16+Resultados!T31*Pesos!$H$17</f>
        <v>0.29839336584164322</v>
      </c>
      <c r="S5" s="103">
        <f>Resultados!U20*Pesos!$H$14+Resultados!U23*Pesos!$H$15+Resultados!U27*Pesos!$H$16+Resultados!U31*Pesos!$H$17</f>
        <v>0.16837770213691144</v>
      </c>
      <c r="T5" s="103">
        <f>Resultados!V20*Pesos!$H$14+Resultados!V23*Pesos!$H$15+Resultados!V27*Pesos!$H$16+Resultados!V31*Pesos!$H$17</f>
        <v>0.33518155871341482</v>
      </c>
      <c r="U5" s="103">
        <f>Resultados!W20*Pesos!$H$14+Resultados!W23*Pesos!$H$15+Resultados!W27*Pesos!$H$16+Resultados!W31*Pesos!$H$17</f>
        <v>0.4986556296843897</v>
      </c>
      <c r="V5" s="103">
        <f>Resultados!X20*Pesos!$H$14+Resultados!X23*Pesos!$H$15+Resultados!X27*Pesos!$H$16+Resultados!X31*Pesos!$H$17</f>
        <v>0.42085535686958664</v>
      </c>
      <c r="W5" s="103">
        <f>Resultados!Y20*Pesos!$H$14+Resultados!Y23*Pesos!$H$15+Resultados!Y27*Pesos!$H$16+Resultados!Y31*Pesos!$H$17</f>
        <v>0.30258397602403653</v>
      </c>
      <c r="X5" s="103">
        <f>Resultados!Z20*Pesos!$H$14+Resultados!Z23*Pesos!$H$15+Resultados!Z27*Pesos!$H$16+Resultados!Z31*Pesos!$H$17</f>
        <v>0.50492180007202925</v>
      </c>
      <c r="Y5" s="103">
        <f>Resultados!AA20*Pesos!$H$14+Resultados!AA23*Pesos!$H$15+Resultados!AA27*Pesos!$H$16+Resultados!AA31*Pesos!$H$17</f>
        <v>0.11883096141868546</v>
      </c>
      <c r="Z5" s="103">
        <f>Resultados!AB20*Pesos!$H$14+Resultados!AB23*Pesos!$H$15+Resultados!AB27*Pesos!$H$16+Resultados!AB31*Pesos!$H$17</f>
        <v>0.4816753598058332</v>
      </c>
      <c r="AA5" s="103">
        <f>Resultados!AC20*Pesos!$H$14+Resultados!AC23*Pesos!$H$15+Resultados!AC27*Pesos!$H$16+Resultados!AC31*Pesos!$H$17</f>
        <v>0.26832282215401948</v>
      </c>
      <c r="AB5" s="103">
        <f>Resultados!AD20*Pesos!$H$14+Resultados!AD23*Pesos!$H$15+Resultados!AD27*Pesos!$H$16+Resultados!AD31*Pesos!$H$17</f>
        <v>0.11852621501729108</v>
      </c>
      <c r="AC5" s="103">
        <f>Resultados!AE20*Pesos!$H$14+Resultados!AE23*Pesos!$H$15+Resultados!AE27*Pesos!$H$16+Resultados!AE31*Pesos!$H$17</f>
        <v>0.35858799764312016</v>
      </c>
      <c r="AD5" s="103">
        <f>Resultados!AF20*Pesos!$H$14+Resultados!AF23*Pesos!$H$15+Resultados!AF27*Pesos!$H$16+Resultados!AF31*Pesos!$H$17</f>
        <v>0.38374293766269163</v>
      </c>
      <c r="AE5" s="103">
        <f>Resultados!AG20*Pesos!$H$14+Resultados!AG23*Pesos!$H$15+Resultados!AG27*Pesos!$H$16+Resultados!AG31*Pesos!$H$17</f>
        <v>0.3262218992927256</v>
      </c>
      <c r="AF5" s="103">
        <f>Resultados!AH20*Pesos!$H$14+Resultados!AH23*Pesos!$H$15+Resultados!AH27*Pesos!$H$16+Resultados!AH31*Pesos!$H$17</f>
        <v>0.28456926448536063</v>
      </c>
      <c r="AG5" s="103">
        <f>Resultados!AI20*Pesos!$H$14+Resultados!AI23*Pesos!$H$15+Resultados!AI27*Pesos!$H$16+Resultados!AI31*Pesos!$H$17</f>
        <v>0.31248449048128879</v>
      </c>
      <c r="AH5" s="103">
        <f>Resultados!AJ20*Pesos!$H$14+Resultados!AJ23*Pesos!$H$15+Resultados!AJ27*Pesos!$H$16+Resultados!AJ31*Pesos!$H$17</f>
        <v>0.33916643712932065</v>
      </c>
      <c r="AI5" s="103">
        <f>Resultados!AK20*Pesos!$H$14+Resultados!AK23*Pesos!$H$15+Resultados!AK27*Pesos!$H$16+Resultados!AK31*Pesos!$H$17</f>
        <v>0.35827352991391431</v>
      </c>
      <c r="AJ5" s="103">
        <f>Resultados!AL20*Pesos!$H$14+Resultados!AL23*Pesos!$H$15+Resultados!AL27*Pesos!$H$16+Resultados!AL31*Pesos!$H$17</f>
        <v>0.33991763409987819</v>
      </c>
    </row>
    <row r="6" spans="1:36" ht="18.75" x14ac:dyDescent="0.3">
      <c r="A6" s="102" t="s">
        <v>10</v>
      </c>
      <c r="B6" s="103">
        <f>Resultados!D32*Pesos!$H$19+Resultados!D33*Pesos!$H$20+Resultados!D34*Pesos!$H$21+Resultados!D35*Pesos!$H$22</f>
        <v>0.88206160000000011</v>
      </c>
      <c r="C6" s="103">
        <f>Resultados!E32*Pesos!$H$19+Resultados!E33*Pesos!$H$20+Resultados!E34*Pesos!$H$21+Resultados!E35*Pesos!$H$22</f>
        <v>0.66007415999999997</v>
      </c>
      <c r="D6" s="103">
        <f>Resultados!F32*Pesos!$H$19+Resultados!F33*Pesos!$H$20+Resultados!F34*Pesos!$H$21+Resultados!F35*Pesos!$H$22</f>
        <v>0.71006698000000001</v>
      </c>
      <c r="E6" s="103">
        <f>Resultados!G32*Pesos!$H$19+Resultados!G33*Pesos!$H$20+Resultados!G34*Pesos!$H$21+Resultados!G35*Pesos!$H$22</f>
        <v>0.60577861999999993</v>
      </c>
      <c r="F6" s="103">
        <f>Resultados!H32*Pesos!$H$19+Resultados!H33*Pesos!$H$20+Resultados!H34*Pesos!$H$21+Resultados!H35*Pesos!$H$22</f>
        <v>0.54975350000000001</v>
      </c>
      <c r="G6" s="103">
        <f>Resultados!I32*Pesos!$H$19+Resultados!I33*Pesos!$H$20+Resultados!I34*Pesos!$H$21+Resultados!I35*Pesos!$H$22</f>
        <v>0.68231735999999998</v>
      </c>
      <c r="H6" s="103">
        <f>Resultados!J32*Pesos!$H$19+Resultados!J33*Pesos!$H$20+Resultados!J34*Pesos!$H$21+Resultados!J35*Pesos!$H$22</f>
        <v>0.52456413999999996</v>
      </c>
      <c r="I6" s="103">
        <f>Resultados!K32*Pesos!$H$19+Resultados!K33*Pesos!$H$20+Resultados!K34*Pesos!$H$21+Resultados!K35*Pesos!$H$22</f>
        <v>0.46840176</v>
      </c>
      <c r="J6" s="103">
        <f>Resultados!L32*Pesos!$H$19+Resultados!L33*Pesos!$H$20+Resultados!L34*Pesos!$H$21+Resultados!L35*Pesos!$H$22</f>
        <v>0.64271577999999996</v>
      </c>
      <c r="K6" s="103">
        <f>Resultados!M32*Pesos!$H$19+Resultados!M33*Pesos!$H$20+Resultados!M34*Pesos!$H$21+Resultados!M35*Pesos!$H$22</f>
        <v>0.45037382000000004</v>
      </c>
      <c r="L6" s="103">
        <f>Resultados!N32*Pesos!$H$19+Resultados!N33*Pesos!$H$20+Resultados!N34*Pesos!$H$21+Resultados!N35*Pesos!$H$22</f>
        <v>0.52614430000000001</v>
      </c>
      <c r="M6" s="103">
        <f>Resultados!O32*Pesos!$H$19+Resultados!O33*Pesos!$H$20+Resultados!O34*Pesos!$H$21+Resultados!O35*Pesos!$H$22</f>
        <v>0.51571212</v>
      </c>
      <c r="N6" s="103">
        <f>Resultados!P32*Pesos!$H$19+Resultados!P33*Pesos!$H$20+Resultados!P34*Pesos!$H$21+Resultados!P35*Pesos!$H$22</f>
        <v>0.47654293999999997</v>
      </c>
      <c r="O6" s="103">
        <f>Resultados!Q32*Pesos!$H$19+Resultados!Q33*Pesos!$H$20+Resultados!Q34*Pesos!$H$21+Resultados!Q35*Pesos!$H$22</f>
        <v>0.62406089999999992</v>
      </c>
      <c r="P6" s="103">
        <f>Resultados!R32*Pesos!$H$19+Resultados!R33*Pesos!$H$20+Resultados!R34*Pesos!$H$21+Resultados!R35*Pesos!$H$22</f>
        <v>0.55129633999999994</v>
      </c>
      <c r="Q6" s="103">
        <f>Resultados!S32*Pesos!$H$19+Resultados!S33*Pesos!$H$20+Resultados!S34*Pesos!$H$21+Resultados!S35*Pesos!$H$22</f>
        <v>0.38091464000000003</v>
      </c>
      <c r="R6" s="103">
        <f>Resultados!T32*Pesos!$H$19+Resultados!T33*Pesos!$H$20+Resultados!T34*Pesos!$H$21+Resultados!T35*Pesos!$H$22</f>
        <v>0.52199967999999997</v>
      </c>
      <c r="S6" s="103">
        <f>Resultados!U32*Pesos!$H$19+Resultados!U33*Pesos!$H$20+Resultados!U34*Pesos!$H$21+Resultados!U35*Pesos!$H$22</f>
        <v>0.46570116000000006</v>
      </c>
      <c r="T6" s="103">
        <f>Resultados!V32*Pesos!$H$19+Resultados!V33*Pesos!$H$20+Resultados!V34*Pesos!$H$21+Resultados!V35*Pesos!$H$22</f>
        <v>0.46033992000000001</v>
      </c>
      <c r="U6" s="103">
        <f>Resultados!W32*Pesos!$H$19+Resultados!W33*Pesos!$H$20+Resultados!W34*Pesos!$H$21+Resultados!W35*Pesos!$H$22</f>
        <v>0.53861495999999998</v>
      </c>
      <c r="V6" s="103">
        <f>Resultados!X32*Pesos!$H$19+Resultados!X33*Pesos!$H$20+Resultados!X34*Pesos!$H$21+Resultados!X35*Pesos!$H$22</f>
        <v>0.39645452000000003</v>
      </c>
      <c r="W6" s="103">
        <f>Resultados!Y32*Pesos!$H$19+Resultados!Y33*Pesos!$H$20+Resultados!Y34*Pesos!$H$21+Resultados!Y35*Pesos!$H$22</f>
        <v>0.52107358000000004</v>
      </c>
      <c r="X6" s="103">
        <f>Resultados!Z32*Pesos!$H$19+Resultados!Z33*Pesos!$H$20+Resultados!Z34*Pesos!$H$21+Resultados!Z35*Pesos!$H$22</f>
        <v>0.393015</v>
      </c>
      <c r="Y6" s="103">
        <f>Resultados!AA32*Pesos!$H$19+Resultados!AA33*Pesos!$H$20+Resultados!AA34*Pesos!$H$21+Resultados!AA35*Pesos!$H$22</f>
        <v>0.31805712000000003</v>
      </c>
      <c r="Z6" s="103">
        <f>Resultados!AB32*Pesos!$H$19+Resultados!AB33*Pesos!$H$20+Resultados!AB34*Pesos!$H$21+Resultados!AB35*Pesos!$H$22</f>
        <v>0.46097591999999998</v>
      </c>
      <c r="AA6" s="103">
        <f>Resultados!AC32*Pesos!$H$19+Resultados!AC33*Pesos!$H$20+Resultados!AC34*Pesos!$H$21+Resultados!AC35*Pesos!$H$22</f>
        <v>0.52677059999999998</v>
      </c>
      <c r="AB6" s="103">
        <f>Resultados!AD32*Pesos!$H$19+Resultados!AD33*Pesos!$H$20+Resultados!AD34*Pesos!$H$21+Resultados!AD35*Pesos!$H$22</f>
        <v>0.26207216</v>
      </c>
      <c r="AC6" s="103">
        <f>Resultados!AE32*Pesos!$H$19+Resultados!AE33*Pesos!$H$20+Resultados!AE34*Pesos!$H$21+Resultados!AE35*Pesos!$H$22</f>
        <v>0.40412833999999997</v>
      </c>
      <c r="AD6" s="103">
        <f>Resultados!AF32*Pesos!$H$19+Resultados!AF33*Pesos!$H$20+Resultados!AF34*Pesos!$H$21+Resultados!AF35*Pesos!$H$22</f>
        <v>0.40998915999999996</v>
      </c>
      <c r="AE6" s="103">
        <f>Resultados!AG32*Pesos!$H$19+Resultados!AG33*Pesos!$H$20+Resultados!AG34*Pesos!$H$21+Resultados!AG35*Pesos!$H$22</f>
        <v>0.51269586</v>
      </c>
      <c r="AF6" s="103">
        <f>Resultados!AH32*Pesos!$H$19+Resultados!AH33*Pesos!$H$20+Resultados!AH34*Pesos!$H$21+Resultados!AH35*Pesos!$H$22</f>
        <v>0.43910988000000001</v>
      </c>
      <c r="AG6" s="103">
        <f>Resultados!AI32*Pesos!$H$19+Resultados!AI33*Pesos!$H$20+Resultados!AI34*Pesos!$H$21+Resultados!AI35*Pesos!$H$22</f>
        <v>0.32356594</v>
      </c>
      <c r="AH6" s="103">
        <f>Resultados!AJ32*Pesos!$H$19+Resultados!AJ33*Pesos!$H$20+Resultados!AJ34*Pesos!$H$21+Resultados!AJ35*Pesos!$H$22</f>
        <v>0.4611922</v>
      </c>
      <c r="AI6" s="103">
        <f>Resultados!AK32*Pesos!$H$19+Resultados!AK33*Pesos!$H$20+Resultados!AK34*Pesos!$H$21+Resultados!AK35*Pesos!$H$22</f>
        <v>0.47493014</v>
      </c>
      <c r="AJ6" s="103">
        <f>Resultados!AL32*Pesos!$H$19+Resultados!AL33*Pesos!$H$20+Resultados!AL34*Pesos!$H$21+Resultados!AL35*Pesos!$H$22</f>
        <v>0.28355032000000002</v>
      </c>
    </row>
    <row r="7" spans="1:36" ht="18.75" x14ac:dyDescent="0.3">
      <c r="A7" s="102" t="s">
        <v>150</v>
      </c>
      <c r="B7" s="103">
        <f>Resultados!D37*Pesos!$H$24+Resultados!D38*Pesos!$H$25+Resultados!D39*Pesos!$H$26</f>
        <v>0.90363199999999999</v>
      </c>
      <c r="C7" s="103">
        <f>Resultados!E37*Pesos!$H$24+Resultados!E38*Pesos!$H$25+Resultados!E39*Pesos!$H$26</f>
        <v>0.8010948</v>
      </c>
      <c r="D7" s="103">
        <f>Resultados!F37*Pesos!$H$24+Resultados!F38*Pesos!$H$25+Resultados!F39*Pesos!$H$26</f>
        <v>0.8177388000000001</v>
      </c>
      <c r="E7" s="103">
        <f>Resultados!G37*Pesos!$H$24+Resultados!G38*Pesos!$H$25+Resultados!G39*Pesos!$H$26</f>
        <v>0.75237920000000014</v>
      </c>
      <c r="F7" s="103">
        <f>Resultados!H37*Pesos!$H$24+Resultados!H38*Pesos!$H$25+Resultados!H39*Pesos!$H$26</f>
        <v>0.67059120000000005</v>
      </c>
      <c r="G7" s="103">
        <f>Resultados!I37*Pesos!$H$24+Resultados!I38*Pesos!$H$25+Resultados!I39*Pesos!$H$26</f>
        <v>0.67217199999999999</v>
      </c>
      <c r="H7" s="103">
        <f>Resultados!J37*Pesos!$H$24+Resultados!J38*Pesos!$H$25+Resultados!J39*Pesos!$H$26</f>
        <v>0.83696920000000008</v>
      </c>
      <c r="I7" s="103">
        <f>Resultados!K37*Pesos!$H$24+Resultados!K38*Pesos!$H$25+Resultados!K39*Pesos!$H$26</f>
        <v>0.83708879999999997</v>
      </c>
      <c r="J7" s="103">
        <f>Resultados!L37*Pesos!$H$24+Resultados!L38*Pesos!$H$25+Resultados!L39*Pesos!$H$26</f>
        <v>0.88886240000000005</v>
      </c>
      <c r="K7" s="103">
        <f>Resultados!M37*Pesos!$H$24+Resultados!M38*Pesos!$H$25+Resultados!M39*Pesos!$H$26</f>
        <v>0.79489960000000004</v>
      </c>
      <c r="L7" s="103">
        <f>Resultados!N37*Pesos!$H$24+Resultados!N38*Pesos!$H$25+Resultados!N39*Pesos!$H$26</f>
        <v>0.92273360000000004</v>
      </c>
      <c r="M7" s="103">
        <f>Resultados!O37*Pesos!$H$24+Resultados!O38*Pesos!$H$25+Resultados!O39*Pesos!$H$26</f>
        <v>0.79456000000000016</v>
      </c>
      <c r="N7" s="103">
        <f>Resultados!P37*Pesos!$H$24+Resultados!P38*Pesos!$H$25+Resultados!P39*Pesos!$H$26</f>
        <v>0.63217120000000004</v>
      </c>
      <c r="O7" s="103">
        <f>Resultados!Q37*Pesos!$H$24+Resultados!Q38*Pesos!$H$25+Resultados!Q39*Pesos!$H$26</f>
        <v>0.73775600000000008</v>
      </c>
      <c r="P7" s="103">
        <f>Resultados!R37*Pesos!$H$24+Resultados!R38*Pesos!$H$25+Resultados!R39*Pesos!$H$26</f>
        <v>0.76143040000000006</v>
      </c>
      <c r="Q7" s="103">
        <f>Resultados!S37*Pesos!$H$24+Resultados!S38*Pesos!$H$25+Resultados!S39*Pesos!$H$26</f>
        <v>0.70731440000000012</v>
      </c>
      <c r="R7" s="103">
        <f>Resultados!T37*Pesos!$H$24+Resultados!T38*Pesos!$H$25+Resultados!T39*Pesos!$H$26</f>
        <v>0.84225240000000001</v>
      </c>
      <c r="S7" s="103">
        <f>Resultados!U37*Pesos!$H$24+Resultados!U38*Pesos!$H$25+Resultados!U39*Pesos!$H$26</f>
        <v>0.69888680000000003</v>
      </c>
      <c r="T7" s="103">
        <f>Resultados!V37*Pesos!$H$24+Resultados!V38*Pesos!$H$25+Resultados!V39*Pesos!$H$26</f>
        <v>0.79421520000000001</v>
      </c>
      <c r="U7" s="103">
        <f>Resultados!W37*Pesos!$H$24+Resultados!W38*Pesos!$H$25+Resultados!W39*Pesos!$H$26</f>
        <v>0.82978040000000008</v>
      </c>
      <c r="V7" s="103">
        <f>Resultados!X37*Pesos!$H$24+Resultados!X38*Pesos!$H$25+Resultados!X39*Pesos!$H$26</f>
        <v>0.80132440000000005</v>
      </c>
      <c r="W7" s="103">
        <f>Resultados!Y37*Pesos!$H$24+Resultados!Y38*Pesos!$H$25+Resultados!Y39*Pesos!$H$26</f>
        <v>0.93191320000000011</v>
      </c>
      <c r="X7" s="103">
        <f>Resultados!Z37*Pesos!$H$24+Resultados!Z38*Pesos!$H$25+Resultados!Z39*Pesos!$H$26</f>
        <v>0.87976279999999996</v>
      </c>
      <c r="Y7" s="103">
        <f>Resultados!AA37*Pesos!$H$24+Resultados!AA38*Pesos!$H$25+Resultados!AA39*Pesos!$H$26</f>
        <v>0.55180840000000009</v>
      </c>
      <c r="Z7" s="103">
        <f>Resultados!AB37*Pesos!$H$24+Resultados!AB38*Pesos!$H$25+Resultados!AB39*Pesos!$H$26</f>
        <v>0.5439676</v>
      </c>
      <c r="AA7" s="103">
        <f>Resultados!AC37*Pesos!$H$24+Resultados!AC38*Pesos!$H$25+Resultados!AC39*Pesos!$H$26</f>
        <v>0.67188040000000004</v>
      </c>
      <c r="AB7" s="103">
        <f>Resultados!AD37*Pesos!$H$24+Resultados!AD38*Pesos!$H$25+Resultados!AD39*Pesos!$H$26</f>
        <v>0.65295520000000007</v>
      </c>
      <c r="AC7" s="103">
        <f>Resultados!AE37*Pesos!$H$24+Resultados!AE38*Pesos!$H$25+Resultados!AE39*Pesos!$H$26</f>
        <v>0.49664640000000004</v>
      </c>
      <c r="AD7" s="103">
        <f>Resultados!AF37*Pesos!$H$24+Resultados!AF38*Pesos!$H$25+Resultados!AF39*Pesos!$H$26</f>
        <v>0.6763344</v>
      </c>
      <c r="AE7" s="103">
        <f>Resultados!AG37*Pesos!$H$24+Resultados!AG38*Pesos!$H$25+Resultados!AG39*Pesos!$H$26</f>
        <v>0.6952252000000001</v>
      </c>
      <c r="AF7" s="103">
        <f>Resultados!AH37*Pesos!$H$24+Resultados!AH38*Pesos!$H$25+Resultados!AH39*Pesos!$H$26</f>
        <v>0.77070440000000007</v>
      </c>
      <c r="AG7" s="103">
        <f>Resultados!AI37*Pesos!$H$24+Resultados!AI38*Pesos!$H$25+Resultados!AI39*Pesos!$H$26</f>
        <v>0.54417560000000009</v>
      </c>
      <c r="AH7" s="103">
        <f>Resultados!AJ37*Pesos!$H$24+Resultados!AJ38*Pesos!$H$25+Resultados!AJ39*Pesos!$H$26</f>
        <v>0.61328959999999999</v>
      </c>
      <c r="AI7" s="103">
        <f>Resultados!AK37*Pesos!$H$24+Resultados!AK38*Pesos!$I$25+Resultados!AK39*Pesos!$I$26</f>
        <v>0.48520489470688671</v>
      </c>
      <c r="AJ7" s="103">
        <f>Resultados!AL37*Pesos!$H$24+Resultados!AL38*Pesos!$I$25+Resultados!AL39*Pesos!$I$26</f>
        <v>0.40665452475811037</v>
      </c>
    </row>
    <row r="8" spans="1:36" ht="18.75" x14ac:dyDescent="0.3">
      <c r="A8" s="104" t="s">
        <v>157</v>
      </c>
      <c r="B8" s="105">
        <f>B3*Pesos!$H$3+B4*Pesos!$H$8+B5*Pesos!$H$13+B6*Pesos!$H$18+B7*Pesos!$H$23</f>
        <v>0.64641076373250206</v>
      </c>
      <c r="C8" s="105">
        <f>C3*Pesos!$H$3+C4*Pesos!$H$8+C5*Pesos!$H$13+C6*Pesos!$H$18+C7*Pesos!$H$23</f>
        <v>0.52892572915593628</v>
      </c>
      <c r="D8" s="105">
        <f>D3*Pesos!$H$3+D4*Pesos!$H$8+D5*Pesos!$H$13+D6*Pesos!$H$18+D7*Pesos!$H$23</f>
        <v>0.59496552500922861</v>
      </c>
      <c r="E8" s="105">
        <f>E3*Pesos!$H$3+E4*Pesos!$H$8+E5*Pesos!$H$13+E6*Pesos!$H$18+E7*Pesos!$H$23</f>
        <v>0.49062137319382826</v>
      </c>
      <c r="F8" s="105">
        <f>F3*Pesos!$H$3+F4*Pesos!$H$8+F5*Pesos!$H$13+F6*Pesos!$H$18+F7*Pesos!$H$23</f>
        <v>0.4628180819432095</v>
      </c>
      <c r="G8" s="105">
        <f>G3*Pesos!$H$3+G4*Pesos!$H$8+G5*Pesos!$H$13+G6*Pesos!$H$18+G7*Pesos!$H$23</f>
        <v>0.43982035309835932</v>
      </c>
      <c r="H8" s="105">
        <f>H3*Pesos!$H$3+H4*Pesos!$H$8+H5*Pesos!$H$13+H6*Pesos!$H$18+H7*Pesos!$H$23</f>
        <v>0.53077554230719604</v>
      </c>
      <c r="I8" s="105">
        <f>I3*Pesos!$H$3+I4*Pesos!$H$8+I5*Pesos!$H$13+I6*Pesos!$H$18+I7*Pesos!$H$23</f>
        <v>0.55076778302622453</v>
      </c>
      <c r="J8" s="105">
        <f>J3*Pesos!$H$3+J4*Pesos!$H$8+J5*Pesos!$H$13+J6*Pesos!$H$18+J7*Pesos!$H$23</f>
        <v>0.59469594032360695</v>
      </c>
      <c r="K8" s="105">
        <f>K3*Pesos!$H$3+K4*Pesos!$H$8+K5*Pesos!$H$13+K6*Pesos!$H$18+K7*Pesos!$H$23</f>
        <v>0.52306134183949382</v>
      </c>
      <c r="L8" s="105">
        <f>L3*Pesos!$H$3+L4*Pesos!$H$8+L5*Pesos!$H$13+L6*Pesos!$H$18+L7*Pesos!$H$23</f>
        <v>0.5696317692670001</v>
      </c>
      <c r="M8" s="105">
        <f>M3*Pesos!$H$3+M4*Pesos!$H$8+M5*Pesos!$H$13+M6*Pesos!$H$18+M7*Pesos!$H$23</f>
        <v>0.53107689983453266</v>
      </c>
      <c r="N8" s="105">
        <f>N3*Pesos!$H$3+N4*Pesos!$H$8+N5*Pesos!$H$13+N6*Pesos!$H$18+N7*Pesos!$H$23</f>
        <v>0.50084835873235634</v>
      </c>
      <c r="O8" s="105">
        <f>O3*Pesos!$H$3+O4*Pesos!$H$8+O5*Pesos!$H$13+O6*Pesos!$H$18+O7*Pesos!$H$23</f>
        <v>0.50022766757436443</v>
      </c>
      <c r="P8" s="105">
        <f>P3*Pesos!$H$3+P4*Pesos!$H$8+P5*Pesos!$H$13+P6*Pesos!$H$18+P7*Pesos!$H$23</f>
        <v>0.52023995993832906</v>
      </c>
      <c r="Q8" s="105">
        <f>Q3*Pesos!$H$3+Q4*Pesos!$H$8+Q5*Pesos!$H$13+Q6*Pesos!$H$18+Q7*Pesos!$H$23</f>
        <v>0.42899950250308572</v>
      </c>
      <c r="R8" s="105">
        <f>R3*Pesos!$H$3+R4*Pesos!$H$8+R5*Pesos!$H$13+R6*Pesos!$H$18+R7*Pesos!$H$23</f>
        <v>0.5225975953944918</v>
      </c>
      <c r="S8" s="105">
        <f>S3*Pesos!$H$3+S4*Pesos!$H$8+S5*Pesos!$H$13+S6*Pesos!$H$18+S7*Pesos!$H$23</f>
        <v>0.4266998851134447</v>
      </c>
      <c r="T8" s="105">
        <f>T3*Pesos!$H$3+T4*Pesos!$H$8+T5*Pesos!$H$13+T6*Pesos!$H$18+T7*Pesos!$H$23</f>
        <v>0.51084441544170367</v>
      </c>
      <c r="U8" s="105">
        <f>U3*Pesos!$H$3+U4*Pesos!$H$8+U5*Pesos!$H$13+U6*Pesos!$H$18+U7*Pesos!$H$23</f>
        <v>0.64832357791530681</v>
      </c>
      <c r="V8" s="105">
        <f>V3*Pesos!$H$3+V4*Pesos!$H$8+V5*Pesos!$H$13+V6*Pesos!$H$18+V7*Pesos!$H$23</f>
        <v>0.54313021306127651</v>
      </c>
      <c r="W8" s="105">
        <f>W3*Pesos!$H$3+W4*Pesos!$H$8+W5*Pesos!$H$13+W6*Pesos!$H$18+W7*Pesos!$H$23</f>
        <v>0.59924780126523858</v>
      </c>
      <c r="X8" s="105">
        <f>X3*Pesos!$H$3+X4*Pesos!$H$8+X5*Pesos!$H$13+X6*Pesos!$H$18+X7*Pesos!$H$23</f>
        <v>0.52049124365134891</v>
      </c>
      <c r="Y8" s="105">
        <f>Y3*Pesos!$H$3+Y4*Pesos!$H$8+Y5*Pesos!$H$13+Y6*Pesos!$H$18+Y7*Pesos!$H$23</f>
        <v>0.35269908955154206</v>
      </c>
      <c r="Z8" s="105">
        <f>Z3*Pesos!$H$3+Z4*Pesos!$H$8+Z5*Pesos!$H$13+Z6*Pesos!$H$18+Z7*Pesos!$H$23</f>
        <v>0.453265424255754</v>
      </c>
      <c r="AA8" s="105">
        <f>AA3*Pesos!$H$3+AA4*Pesos!$H$8+AA5*Pesos!$H$13+AA6*Pesos!$H$18+AA7*Pesos!$H$23</f>
        <v>0.41766985201083279</v>
      </c>
      <c r="AB8" s="105">
        <f>AB3*Pesos!$H$3+AB4*Pesos!$H$8+AB5*Pesos!$H$13+AB6*Pesos!$H$18+AB7*Pesos!$H$23</f>
        <v>0.36836050530003817</v>
      </c>
      <c r="AC8" s="105">
        <f>AC3*Pesos!$H$3+AC4*Pesos!$H$8+AC5*Pesos!$H$13+AC6*Pesos!$H$18+AC7*Pesos!$H$23</f>
        <v>0.44487794887079002</v>
      </c>
      <c r="AD8" s="105">
        <f>AD3*Pesos!$H$3+AD4*Pesos!$H$8+AD5*Pesos!$H$13+AD6*Pesos!$H$18+AD7*Pesos!$H$23</f>
        <v>0.41744644389701502</v>
      </c>
      <c r="AE8" s="105">
        <f>AE3*Pesos!$H$3+AE4*Pesos!$H$8+AE5*Pesos!$H$13+AE6*Pesos!$H$18+AE7*Pesos!$H$23</f>
        <v>0.46980301761587107</v>
      </c>
      <c r="AF8" s="105">
        <f>AF3*Pesos!$H$3+AF4*Pesos!$H$8+AF5*Pesos!$H$13+AF6*Pesos!$H$18+AF7*Pesos!$H$23</f>
        <v>0.38416217429624377</v>
      </c>
      <c r="AG8" s="105">
        <f>AG3*Pesos!$H$3+AG4*Pesos!$H$8+AG5*Pesos!$H$13+AG6*Pesos!$H$18+AG7*Pesos!$H$23</f>
        <v>0.35006655691473731</v>
      </c>
      <c r="AH8" s="105">
        <f>AH3*Pesos!$H$3+AH4*Pesos!$H$8+AH5*Pesos!$H$13+AH6*Pesos!$H$18+AH7*Pesos!$H$23</f>
        <v>0.43902739724554296</v>
      </c>
      <c r="AI8" s="105">
        <f>AI3*Pesos!$H$3+AI4*Pesos!$H$8+AI5*Pesos!$H$13+AI6*Pesos!$H$18+AI7*Pesos!$H$23</f>
        <v>0.37962500398158189</v>
      </c>
      <c r="AJ8" s="105">
        <f>AJ3*Pesos!$H$3+AJ4*Pesos!$H$8+AJ5*Pesos!$H$13+AJ6*Pesos!$H$18+AJ7*Pesos!$H$23</f>
        <v>0.31665819618426616</v>
      </c>
    </row>
  </sheetData>
  <mergeCells count="1">
    <mergeCell ref="A1:A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0DE8E-DF22-4352-BF78-9A21B9F6F590}">
  <dimension ref="A2:N38"/>
  <sheetViews>
    <sheetView zoomScaleNormal="100" workbookViewId="0">
      <selection activeCell="B36" sqref="B36"/>
    </sheetView>
  </sheetViews>
  <sheetFormatPr defaultRowHeight="15" x14ac:dyDescent="0.25"/>
  <cols>
    <col min="1" max="1" width="14.28515625" customWidth="1"/>
    <col min="2" max="2" width="16.7109375" customWidth="1"/>
    <col min="3" max="3" width="16.42578125" bestFit="1" customWidth="1"/>
    <col min="4" max="4" width="12.7109375" bestFit="1" customWidth="1"/>
    <col min="5" max="5" width="18" bestFit="1" customWidth="1"/>
    <col min="6" max="6" width="21.7109375" bestFit="1" customWidth="1"/>
    <col min="7" max="7" width="19.7109375" bestFit="1" customWidth="1"/>
    <col min="8" max="8" width="8.85546875" customWidth="1"/>
    <col min="9" max="10" width="8.85546875" style="108" customWidth="1"/>
    <col min="11" max="11" width="15.5703125" customWidth="1"/>
    <col min="12" max="12" width="16.7109375" customWidth="1"/>
    <col min="13" max="35" width="14.28515625" customWidth="1"/>
    <col min="36" max="36" width="10.7109375" bestFit="1" customWidth="1"/>
  </cols>
  <sheetData>
    <row r="2" spans="1:14" x14ac:dyDescent="0.25">
      <c r="A2" s="130" t="s">
        <v>158</v>
      </c>
      <c r="B2" s="130"/>
      <c r="C2" s="2" t="s">
        <v>1</v>
      </c>
      <c r="D2" s="2" t="s">
        <v>6</v>
      </c>
      <c r="E2" s="2" t="s">
        <v>149</v>
      </c>
      <c r="F2" s="2" t="s">
        <v>10</v>
      </c>
      <c r="G2" s="2" t="s">
        <v>150</v>
      </c>
      <c r="H2" s="111" t="s">
        <v>157</v>
      </c>
    </row>
    <row r="3" spans="1:14" x14ac:dyDescent="0.25">
      <c r="A3" s="106" t="s">
        <v>66</v>
      </c>
      <c r="B3" s="107" t="s">
        <v>35</v>
      </c>
      <c r="C3" s="112">
        <v>0.82751446499999992</v>
      </c>
      <c r="D3" s="112">
        <v>0.83433416000000005</v>
      </c>
      <c r="E3" s="112">
        <v>0.4986556296843897</v>
      </c>
      <c r="F3" s="112">
        <v>0.53861495999999998</v>
      </c>
      <c r="G3" s="112">
        <v>0.82978040000000008</v>
      </c>
      <c r="H3" s="113">
        <v>0.64832357791530681</v>
      </c>
      <c r="I3" s="109"/>
      <c r="L3" s="114"/>
    </row>
    <row r="4" spans="1:14" x14ac:dyDescent="0.25">
      <c r="A4" s="106" t="s">
        <v>15</v>
      </c>
      <c r="B4" s="107" t="s">
        <v>16</v>
      </c>
      <c r="C4" s="112">
        <v>0.77779562999999996</v>
      </c>
      <c r="D4" s="112">
        <v>0.58237254460535748</v>
      </c>
      <c r="E4" s="112">
        <v>0.17460559763262029</v>
      </c>
      <c r="F4" s="112">
        <v>0.88206160000000011</v>
      </c>
      <c r="G4" s="112">
        <v>0.90363199999999999</v>
      </c>
      <c r="H4" s="113">
        <v>0.64641076373250206</v>
      </c>
      <c r="I4" s="109"/>
      <c r="J4" s="110"/>
      <c r="K4" s="103"/>
      <c r="L4" s="114"/>
      <c r="N4" t="s">
        <v>161</v>
      </c>
    </row>
    <row r="5" spans="1:14" ht="30" x14ac:dyDescent="0.25">
      <c r="A5" s="106" t="s">
        <v>68</v>
      </c>
      <c r="B5" s="107" t="s">
        <v>37</v>
      </c>
      <c r="C5" s="112">
        <v>0.80846217000000009</v>
      </c>
      <c r="D5" s="112">
        <v>0.841294202207021</v>
      </c>
      <c r="E5" s="112">
        <v>0.30258397602403653</v>
      </c>
      <c r="F5" s="112">
        <v>0.52107358000000004</v>
      </c>
      <c r="G5" s="112">
        <v>0.93191320000000011</v>
      </c>
      <c r="H5" s="113">
        <v>0.59924780126523858</v>
      </c>
      <c r="I5" s="109"/>
      <c r="J5" s="110"/>
      <c r="K5" s="103"/>
      <c r="L5" s="114"/>
    </row>
    <row r="6" spans="1:14" x14ac:dyDescent="0.25">
      <c r="A6" s="106" t="s">
        <v>50</v>
      </c>
      <c r="B6" s="107" t="s">
        <v>18</v>
      </c>
      <c r="C6" s="112">
        <v>0.69403934</v>
      </c>
      <c r="D6" s="112">
        <v>0.23468653179393315</v>
      </c>
      <c r="E6" s="112">
        <v>0.36578880114193152</v>
      </c>
      <c r="F6" s="112">
        <v>0.71006698000000001</v>
      </c>
      <c r="G6" s="112">
        <v>0.8177388000000001</v>
      </c>
      <c r="H6" s="113">
        <v>0.59496552500922861</v>
      </c>
      <c r="I6" s="109"/>
      <c r="J6" s="110"/>
      <c r="K6" s="103"/>
      <c r="L6" s="114"/>
    </row>
    <row r="7" spans="1:14" x14ac:dyDescent="0.25">
      <c r="A7" s="106" t="s">
        <v>56</v>
      </c>
      <c r="B7" s="107" t="s">
        <v>24</v>
      </c>
      <c r="C7" s="112">
        <v>0.71719686999999999</v>
      </c>
      <c r="D7" s="112">
        <v>0.43259091447014619</v>
      </c>
      <c r="E7" s="112">
        <v>0.33874576788167188</v>
      </c>
      <c r="F7" s="112">
        <v>0.64271577999999996</v>
      </c>
      <c r="G7" s="112">
        <v>0.88886240000000005</v>
      </c>
      <c r="H7" s="113">
        <v>0.59469594032360695</v>
      </c>
      <c r="I7" s="109"/>
      <c r="J7" s="110"/>
      <c r="K7" s="103"/>
      <c r="L7" s="114"/>
    </row>
    <row r="8" spans="1:14" x14ac:dyDescent="0.25">
      <c r="A8" s="106" t="s">
        <v>58</v>
      </c>
      <c r="B8" s="107" t="s">
        <v>26</v>
      </c>
      <c r="C8" s="112">
        <v>0.70440694500000012</v>
      </c>
      <c r="D8" s="112">
        <v>0.36417864</v>
      </c>
      <c r="E8" s="112">
        <v>0.38466852000000001</v>
      </c>
      <c r="F8" s="112">
        <v>0.52614430000000001</v>
      </c>
      <c r="G8" s="112">
        <v>0.92273360000000004</v>
      </c>
      <c r="H8" s="113">
        <v>0.5696317692670001</v>
      </c>
      <c r="I8" s="109"/>
      <c r="J8" s="110"/>
      <c r="K8" s="103"/>
      <c r="L8" s="114"/>
    </row>
    <row r="9" spans="1:14" ht="30" x14ac:dyDescent="0.25">
      <c r="A9" s="106" t="s">
        <v>55</v>
      </c>
      <c r="B9" s="107" t="s">
        <v>23</v>
      </c>
      <c r="C9" s="112">
        <v>0.62265356000000005</v>
      </c>
      <c r="D9" s="112">
        <v>0.59150555506206037</v>
      </c>
      <c r="E9" s="112">
        <v>0.43180370663506984</v>
      </c>
      <c r="F9" s="112">
        <v>0.46840176</v>
      </c>
      <c r="G9" s="112">
        <v>0.83708879999999997</v>
      </c>
      <c r="H9" s="113">
        <v>0.55076778302622453</v>
      </c>
      <c r="I9" s="109"/>
      <c r="J9" s="110"/>
      <c r="K9" s="103"/>
      <c r="L9" s="114"/>
    </row>
    <row r="10" spans="1:14" x14ac:dyDescent="0.25">
      <c r="A10" s="106" t="s">
        <v>67</v>
      </c>
      <c r="B10" s="107" t="s">
        <v>36</v>
      </c>
      <c r="C10" s="112">
        <v>0.75883447500000001</v>
      </c>
      <c r="D10" s="112">
        <v>0.5007369710748546</v>
      </c>
      <c r="E10" s="112">
        <v>0.42085535686958664</v>
      </c>
      <c r="F10" s="112">
        <v>0.39645452000000003</v>
      </c>
      <c r="G10" s="112">
        <v>0.80132440000000005</v>
      </c>
      <c r="H10" s="113">
        <v>0.54313021306127651</v>
      </c>
      <c r="I10" s="109"/>
      <c r="J10" s="110"/>
      <c r="K10" s="103"/>
      <c r="L10" s="114"/>
    </row>
    <row r="11" spans="1:14" x14ac:dyDescent="0.25">
      <c r="A11" s="106" t="s">
        <v>59</v>
      </c>
      <c r="B11" s="107" t="s">
        <v>27</v>
      </c>
      <c r="C11" s="112">
        <v>0.66246691000000002</v>
      </c>
      <c r="D11" s="112">
        <v>0.31718616189744087</v>
      </c>
      <c r="E11" s="112">
        <v>0.36551260596193563</v>
      </c>
      <c r="F11" s="112">
        <v>0.51571212</v>
      </c>
      <c r="G11" s="112">
        <v>0.79456000000000016</v>
      </c>
      <c r="H11" s="113">
        <v>0.53107689983453266</v>
      </c>
      <c r="I11" s="109"/>
      <c r="J11" s="110"/>
      <c r="K11" s="103"/>
      <c r="L11" s="114"/>
    </row>
    <row r="12" spans="1:14" x14ac:dyDescent="0.25">
      <c r="A12" s="106" t="s">
        <v>54</v>
      </c>
      <c r="B12" s="107" t="s">
        <v>22</v>
      </c>
      <c r="C12" s="112">
        <v>0.71726882500000011</v>
      </c>
      <c r="D12" s="112">
        <v>0.39685516974894702</v>
      </c>
      <c r="E12" s="112">
        <v>0.27364417443448935</v>
      </c>
      <c r="F12" s="112">
        <v>0.52456413999999996</v>
      </c>
      <c r="G12" s="112">
        <v>0.83696920000000008</v>
      </c>
      <c r="H12" s="113">
        <v>0.53077554230719604</v>
      </c>
      <c r="I12" s="109"/>
      <c r="J12" s="110"/>
      <c r="K12" s="103"/>
      <c r="L12" s="114"/>
    </row>
    <row r="13" spans="1:14" x14ac:dyDescent="0.25">
      <c r="A13" s="106" t="s">
        <v>49</v>
      </c>
      <c r="B13" s="107" t="s">
        <v>17</v>
      </c>
      <c r="C13" s="112">
        <v>0.64280691999999995</v>
      </c>
      <c r="D13" s="112">
        <v>0.32379486089219434</v>
      </c>
      <c r="E13" s="112">
        <v>0.20976968814918651</v>
      </c>
      <c r="F13" s="112">
        <v>0.66007415999999997</v>
      </c>
      <c r="G13" s="112">
        <v>0.8010948</v>
      </c>
      <c r="H13" s="113">
        <v>0.52892572915593628</v>
      </c>
      <c r="I13" s="109"/>
      <c r="J13" s="110"/>
      <c r="K13" s="103"/>
      <c r="L13" s="114"/>
    </row>
    <row r="14" spans="1:14" x14ac:dyDescent="0.25">
      <c r="A14" s="106" t="s">
        <v>57</v>
      </c>
      <c r="B14" s="107" t="s">
        <v>25</v>
      </c>
      <c r="C14" s="112">
        <v>0.64761148499999999</v>
      </c>
      <c r="D14" s="112">
        <v>0.56523878880686684</v>
      </c>
      <c r="E14" s="112">
        <v>0.36124299881999994</v>
      </c>
      <c r="F14" s="112">
        <v>0.45037382000000004</v>
      </c>
      <c r="G14" s="112">
        <v>0.79489960000000004</v>
      </c>
      <c r="H14" s="113">
        <v>0.52306134183949382</v>
      </c>
      <c r="I14" s="109"/>
      <c r="J14" s="110"/>
      <c r="K14" s="103"/>
      <c r="L14" s="114"/>
    </row>
    <row r="15" spans="1:14" x14ac:dyDescent="0.25">
      <c r="A15" s="106" t="s">
        <v>63</v>
      </c>
      <c r="B15" s="107" t="s">
        <v>32</v>
      </c>
      <c r="C15" s="112">
        <v>0.69083377000000001</v>
      </c>
      <c r="D15" s="112">
        <v>0.25034693414936143</v>
      </c>
      <c r="E15" s="112">
        <v>0.29839336584164322</v>
      </c>
      <c r="F15" s="112">
        <v>0.52199967999999997</v>
      </c>
      <c r="G15" s="112">
        <v>0.84225240000000001</v>
      </c>
      <c r="H15" s="113">
        <v>0.5225975953944918</v>
      </c>
      <c r="I15" s="109"/>
      <c r="J15" s="110"/>
      <c r="K15" s="103"/>
      <c r="L15" s="114"/>
    </row>
    <row r="16" spans="1:14" x14ac:dyDescent="0.25">
      <c r="A16" s="106" t="s">
        <v>69</v>
      </c>
      <c r="B16" s="107" t="s">
        <v>38</v>
      </c>
      <c r="C16" s="112">
        <v>0.56374321500000002</v>
      </c>
      <c r="D16" s="112">
        <v>0.26198498977661355</v>
      </c>
      <c r="E16" s="112">
        <v>0.50492180007202925</v>
      </c>
      <c r="F16" s="112">
        <v>0.393015</v>
      </c>
      <c r="G16" s="112">
        <v>0.87976279999999996</v>
      </c>
      <c r="H16" s="113">
        <v>0.52049124365134891</v>
      </c>
      <c r="I16" s="109"/>
      <c r="J16" s="110"/>
      <c r="K16" s="103"/>
      <c r="L16" s="114"/>
    </row>
    <row r="17" spans="1:12" ht="30" x14ac:dyDescent="0.25">
      <c r="A17" s="106" t="s">
        <v>61</v>
      </c>
      <c r="B17" s="107" t="s">
        <v>30</v>
      </c>
      <c r="C17" s="112">
        <v>0.58336840500000009</v>
      </c>
      <c r="D17" s="112">
        <v>0.42715464661997848</v>
      </c>
      <c r="E17" s="112">
        <v>0.33803070717100608</v>
      </c>
      <c r="F17" s="112">
        <v>0.55129633999999994</v>
      </c>
      <c r="G17" s="112">
        <v>0.76143040000000006</v>
      </c>
      <c r="H17" s="113">
        <v>0.52023995993832906</v>
      </c>
      <c r="I17" s="109"/>
      <c r="J17" s="110"/>
      <c r="K17" s="103"/>
      <c r="L17" s="114"/>
    </row>
    <row r="18" spans="1:12" x14ac:dyDescent="0.25">
      <c r="A18" s="106" t="s">
        <v>65</v>
      </c>
      <c r="B18" s="107" t="s">
        <v>34</v>
      </c>
      <c r="C18" s="112">
        <v>0.6593966</v>
      </c>
      <c r="D18" s="112">
        <v>0.40651641000637417</v>
      </c>
      <c r="E18" s="112">
        <v>0.33518155871341482</v>
      </c>
      <c r="F18" s="112">
        <v>0.46033992000000001</v>
      </c>
      <c r="G18" s="112">
        <v>0.79421520000000001</v>
      </c>
      <c r="H18" s="113">
        <v>0.51084441544170367</v>
      </c>
      <c r="I18" s="109"/>
      <c r="J18" s="110"/>
      <c r="K18" s="103"/>
      <c r="L18" s="114"/>
    </row>
    <row r="19" spans="1:12" x14ac:dyDescent="0.25">
      <c r="A19" s="106" t="s">
        <v>171</v>
      </c>
      <c r="B19" s="107" t="s">
        <v>28</v>
      </c>
      <c r="C19" s="112">
        <v>0.66450627000000007</v>
      </c>
      <c r="D19" s="112">
        <v>0.38792094466935201</v>
      </c>
      <c r="E19" s="112">
        <v>0.36472279992584322</v>
      </c>
      <c r="F19" s="112">
        <v>0.47654293999999997</v>
      </c>
      <c r="G19" s="112">
        <v>0.63217120000000004</v>
      </c>
      <c r="H19" s="113">
        <v>0.50084835873235634</v>
      </c>
      <c r="I19" s="109"/>
      <c r="J19" s="110"/>
      <c r="K19" s="103"/>
      <c r="L19" s="114"/>
    </row>
    <row r="20" spans="1:12" x14ac:dyDescent="0.25">
      <c r="A20" s="106" t="s">
        <v>60</v>
      </c>
      <c r="B20" s="107" t="s">
        <v>29</v>
      </c>
      <c r="C20" s="112">
        <v>0.50703099500000004</v>
      </c>
      <c r="D20" s="112">
        <v>0.21263304569854968</v>
      </c>
      <c r="E20" s="112">
        <v>0.30589877707239488</v>
      </c>
      <c r="F20" s="112">
        <v>0.62406089999999992</v>
      </c>
      <c r="G20" s="112">
        <v>0.73775600000000008</v>
      </c>
      <c r="H20" s="113">
        <v>0.50022766757436443</v>
      </c>
      <c r="I20" s="109"/>
      <c r="J20" s="110"/>
      <c r="K20" s="103"/>
      <c r="L20" s="114"/>
    </row>
    <row r="21" spans="1:12" x14ac:dyDescent="0.25">
      <c r="A21" s="106" t="s">
        <v>51</v>
      </c>
      <c r="B21" s="107" t="s">
        <v>19</v>
      </c>
      <c r="C21" s="112">
        <v>0.646326505</v>
      </c>
      <c r="D21" s="112">
        <v>0.11212766940128666</v>
      </c>
      <c r="E21" s="112">
        <v>0.20350297279392529</v>
      </c>
      <c r="F21" s="112">
        <v>0.60577861999999993</v>
      </c>
      <c r="G21" s="112">
        <v>0.75237920000000014</v>
      </c>
      <c r="H21" s="113">
        <v>0.49062137319382826</v>
      </c>
      <c r="I21" s="109"/>
      <c r="J21" s="110"/>
      <c r="K21" s="103"/>
      <c r="L21" s="114"/>
    </row>
    <row r="22" spans="1:12" x14ac:dyDescent="0.25">
      <c r="A22" s="106" t="s">
        <v>76</v>
      </c>
      <c r="B22" s="107" t="s">
        <v>44</v>
      </c>
      <c r="C22" s="112">
        <v>0.522958645</v>
      </c>
      <c r="D22" s="112">
        <v>0.22210951998596482</v>
      </c>
      <c r="E22" s="112">
        <v>0.3262218992927256</v>
      </c>
      <c r="F22" s="112">
        <v>0.51269586</v>
      </c>
      <c r="G22" s="112">
        <v>0.6952252000000001</v>
      </c>
      <c r="H22" s="113">
        <v>0.46980301761587107</v>
      </c>
      <c r="I22" s="109"/>
      <c r="J22" s="110"/>
      <c r="K22" s="103"/>
      <c r="L22" s="114"/>
    </row>
    <row r="23" spans="1:12" ht="17.25" customHeight="1" x14ac:dyDescent="0.25">
      <c r="A23" s="106" t="s">
        <v>52</v>
      </c>
      <c r="B23" s="107" t="s">
        <v>20</v>
      </c>
      <c r="C23" s="112">
        <v>0.635318885</v>
      </c>
      <c r="D23" s="112">
        <v>0.16322107429024188</v>
      </c>
      <c r="E23" s="112">
        <v>0.20309946946781812</v>
      </c>
      <c r="F23" s="112">
        <v>0.54975350000000001</v>
      </c>
      <c r="G23" s="112">
        <v>0.67059120000000005</v>
      </c>
      <c r="H23" s="113">
        <v>0.4628180819432095</v>
      </c>
      <c r="I23" s="109"/>
      <c r="J23" s="110"/>
      <c r="K23" s="103"/>
      <c r="L23" s="114"/>
    </row>
    <row r="24" spans="1:12" x14ac:dyDescent="0.25">
      <c r="A24" s="106" t="s">
        <v>71</v>
      </c>
      <c r="B24" s="107" t="s">
        <v>40</v>
      </c>
      <c r="C24" s="112">
        <v>0.44021503499999998</v>
      </c>
      <c r="D24" s="112">
        <v>0.13927330418277856</v>
      </c>
      <c r="E24" s="112">
        <v>0.4816753598058332</v>
      </c>
      <c r="F24" s="112">
        <v>0.46097591999999998</v>
      </c>
      <c r="G24" s="112">
        <v>0.5439676</v>
      </c>
      <c r="H24" s="113">
        <v>0.453265424255754</v>
      </c>
      <c r="I24" s="109"/>
      <c r="J24" s="110"/>
      <c r="K24" s="103"/>
      <c r="L24" s="114"/>
    </row>
    <row r="25" spans="1:12" x14ac:dyDescent="0.25">
      <c r="A25" s="106" t="s">
        <v>74</v>
      </c>
      <c r="B25" s="107" t="s">
        <v>43</v>
      </c>
      <c r="C25" s="112">
        <v>0.63674856000000002</v>
      </c>
      <c r="D25" s="112">
        <v>0.2788653323180233</v>
      </c>
      <c r="E25" s="112">
        <v>0.35858799764312016</v>
      </c>
      <c r="F25" s="112">
        <v>0.40412833999999997</v>
      </c>
      <c r="G25" s="112">
        <v>0.49664640000000004</v>
      </c>
      <c r="H25" s="113">
        <v>0.44487794887079002</v>
      </c>
      <c r="I25" s="109"/>
      <c r="J25" s="110"/>
      <c r="K25" s="103"/>
      <c r="L25" s="114"/>
    </row>
    <row r="26" spans="1:12" x14ac:dyDescent="0.25">
      <c r="A26" s="106" t="s">
        <v>53</v>
      </c>
      <c r="B26" s="107" t="s">
        <v>21</v>
      </c>
      <c r="C26" s="112">
        <v>0.34382539000000001</v>
      </c>
      <c r="D26" s="112">
        <v>0.11864323886260744</v>
      </c>
      <c r="E26" s="112">
        <v>0.20296315028973874</v>
      </c>
      <c r="F26" s="112">
        <v>0.68231735999999998</v>
      </c>
      <c r="G26" s="112">
        <v>0.67217199999999999</v>
      </c>
      <c r="H26" s="113">
        <v>0.43982035309835932</v>
      </c>
      <c r="I26" s="109"/>
      <c r="J26" s="110"/>
      <c r="K26" s="103"/>
      <c r="L26" s="114"/>
    </row>
    <row r="27" spans="1:12" x14ac:dyDescent="0.25">
      <c r="A27" s="106" t="s">
        <v>79</v>
      </c>
      <c r="B27" s="107" t="s">
        <v>46</v>
      </c>
      <c r="C27" s="112">
        <v>0.50227591999999999</v>
      </c>
      <c r="D27" s="112">
        <v>0.18049262889513421</v>
      </c>
      <c r="E27" s="112">
        <v>0.33916643712932065</v>
      </c>
      <c r="F27" s="112">
        <v>0.4611922</v>
      </c>
      <c r="G27" s="112">
        <v>0.61328959999999999</v>
      </c>
      <c r="H27" s="113">
        <v>0.43902739724554296</v>
      </c>
      <c r="I27" s="109"/>
      <c r="J27" s="110"/>
      <c r="K27" s="103"/>
      <c r="L27" s="114"/>
    </row>
    <row r="28" spans="1:12" x14ac:dyDescent="0.25">
      <c r="A28" s="106" t="s">
        <v>62</v>
      </c>
      <c r="B28" s="107" t="s">
        <v>31</v>
      </c>
      <c r="C28" s="112">
        <v>0.69076873500000002</v>
      </c>
      <c r="D28" s="112">
        <v>0.49108710798430022</v>
      </c>
      <c r="E28" s="112">
        <v>0.12990184040924591</v>
      </c>
      <c r="F28" s="112">
        <v>0.38091464000000003</v>
      </c>
      <c r="G28" s="112">
        <v>0.70731440000000012</v>
      </c>
      <c r="H28" s="113">
        <v>0.42899950250308572</v>
      </c>
      <c r="I28" s="109"/>
      <c r="J28" s="110"/>
      <c r="K28" s="103"/>
      <c r="L28" s="114"/>
    </row>
    <row r="29" spans="1:12" x14ac:dyDescent="0.25">
      <c r="A29" s="106" t="s">
        <v>64</v>
      </c>
      <c r="B29" s="107" t="s">
        <v>33</v>
      </c>
      <c r="C29" s="112">
        <v>0.55357906000000001</v>
      </c>
      <c r="D29" s="112">
        <v>0.35095400120610676</v>
      </c>
      <c r="E29" s="112">
        <v>0.16837770213691144</v>
      </c>
      <c r="F29" s="112">
        <v>0.46570116000000006</v>
      </c>
      <c r="G29" s="112">
        <v>0.69888680000000003</v>
      </c>
      <c r="H29" s="113">
        <v>0.4266998851134447</v>
      </c>
      <c r="I29" s="109"/>
      <c r="J29" s="110"/>
      <c r="K29" s="103"/>
      <c r="L29" s="114"/>
    </row>
    <row r="30" spans="1:12" x14ac:dyDescent="0.25">
      <c r="A30" s="106" t="s">
        <v>72</v>
      </c>
      <c r="B30" s="107" t="s">
        <v>41</v>
      </c>
      <c r="C30" s="112">
        <v>0.37886684500000001</v>
      </c>
      <c r="D30" s="112">
        <v>0.11582386566916616</v>
      </c>
      <c r="E30" s="112">
        <v>0.26832282215401948</v>
      </c>
      <c r="F30" s="112">
        <v>0.52677059999999998</v>
      </c>
      <c r="G30" s="112">
        <v>0.67188040000000004</v>
      </c>
      <c r="H30" s="113">
        <v>0.41766985201083279</v>
      </c>
      <c r="I30" s="109"/>
      <c r="J30" s="110"/>
      <c r="K30" s="103"/>
      <c r="L30" s="114"/>
    </row>
    <row r="31" spans="1:12" x14ac:dyDescent="0.25">
      <c r="A31" s="106" t="s">
        <v>75</v>
      </c>
      <c r="B31" s="107" t="s">
        <v>96</v>
      </c>
      <c r="C31" s="112">
        <v>0.36000341999999996</v>
      </c>
      <c r="D31" s="112">
        <v>0.2155323159086025</v>
      </c>
      <c r="E31" s="112">
        <v>0.38374293766269163</v>
      </c>
      <c r="F31" s="112">
        <v>0.40998915999999996</v>
      </c>
      <c r="G31" s="112">
        <v>0.6763344</v>
      </c>
      <c r="H31" s="113">
        <v>0.41744644389701502</v>
      </c>
      <c r="I31" s="109"/>
      <c r="J31" s="110"/>
      <c r="K31" s="103"/>
      <c r="L31" s="114"/>
    </row>
    <row r="32" spans="1:12" x14ac:dyDescent="0.25">
      <c r="A32" s="106" t="s">
        <v>77</v>
      </c>
      <c r="B32" s="107" t="s">
        <v>45</v>
      </c>
      <c r="C32" s="112">
        <v>0.28688462999999997</v>
      </c>
      <c r="D32" s="112">
        <v>2.1049952668659951E-2</v>
      </c>
      <c r="E32" s="112">
        <v>0.28456926448536063</v>
      </c>
      <c r="F32" s="112">
        <v>0.43910988000000001</v>
      </c>
      <c r="G32" s="112">
        <v>0.77070440000000007</v>
      </c>
      <c r="H32" s="113">
        <v>0.38416217429624377</v>
      </c>
      <c r="I32" s="109"/>
      <c r="J32" s="110"/>
      <c r="K32" s="103"/>
      <c r="L32" s="114"/>
    </row>
    <row r="33" spans="1:12" x14ac:dyDescent="0.25">
      <c r="A33" s="106" t="s">
        <v>80</v>
      </c>
      <c r="B33" s="107" t="s">
        <v>47</v>
      </c>
      <c r="C33" s="112">
        <v>0.27657685500000001</v>
      </c>
      <c r="D33" s="112">
        <v>0.12385713243684683</v>
      </c>
      <c r="E33" s="112">
        <v>0.35827352991391431</v>
      </c>
      <c r="F33" s="112">
        <v>0.47493014</v>
      </c>
      <c r="G33" s="112">
        <v>0.48520489470688671</v>
      </c>
      <c r="H33" s="113">
        <v>0.37962500398158189</v>
      </c>
      <c r="I33" s="109"/>
      <c r="J33" s="110"/>
      <c r="K33" s="103"/>
      <c r="L33" s="114"/>
    </row>
    <row r="34" spans="1:12" x14ac:dyDescent="0.25">
      <c r="A34" s="106" t="s">
        <v>73</v>
      </c>
      <c r="B34" s="107" t="s">
        <v>42</v>
      </c>
      <c r="C34" s="112">
        <v>0.67786735499999995</v>
      </c>
      <c r="D34" s="112">
        <v>0.32567025708735281</v>
      </c>
      <c r="E34" s="112">
        <v>0.11852621501729108</v>
      </c>
      <c r="F34" s="112">
        <v>0.26207216</v>
      </c>
      <c r="G34" s="112">
        <v>0.65295520000000007</v>
      </c>
      <c r="H34" s="113">
        <v>0.36836050530003817</v>
      </c>
      <c r="I34" s="109"/>
      <c r="J34" s="110"/>
      <c r="K34" s="103"/>
      <c r="L34" s="114"/>
    </row>
    <row r="35" spans="1:12" x14ac:dyDescent="0.25">
      <c r="A35" s="106" t="s">
        <v>70</v>
      </c>
      <c r="B35" s="107" t="s">
        <v>39</v>
      </c>
      <c r="C35" s="112">
        <v>0.54556700999999996</v>
      </c>
      <c r="D35" s="112">
        <v>0.46555953350458179</v>
      </c>
      <c r="E35" s="112">
        <v>0.11883096141868546</v>
      </c>
      <c r="F35" s="112">
        <v>0.31805712000000003</v>
      </c>
      <c r="G35" s="112">
        <v>0.55180840000000009</v>
      </c>
      <c r="H35" s="113">
        <v>0.35269908955154206</v>
      </c>
      <c r="I35" s="109"/>
      <c r="J35" s="110"/>
      <c r="K35" s="103"/>
      <c r="L35" s="114"/>
    </row>
    <row r="36" spans="1:12" ht="30" x14ac:dyDescent="0.25">
      <c r="A36" s="106" t="s">
        <v>78</v>
      </c>
      <c r="B36" s="31" t="s">
        <v>172</v>
      </c>
      <c r="C36" s="112">
        <v>0.40036253999999999</v>
      </c>
      <c r="D36" s="112">
        <v>5.0792000000000004E-2</v>
      </c>
      <c r="E36" s="112">
        <v>0.31248449048128879</v>
      </c>
      <c r="F36" s="112">
        <v>0.32356594</v>
      </c>
      <c r="G36" s="112">
        <v>0.54417560000000009</v>
      </c>
      <c r="H36" s="113">
        <v>0.35006655691473731</v>
      </c>
      <c r="I36" s="109"/>
      <c r="J36" s="110"/>
      <c r="K36" s="103"/>
      <c r="L36" s="114"/>
    </row>
    <row r="37" spans="1:12" x14ac:dyDescent="0.25">
      <c r="A37" s="106" t="s">
        <v>81</v>
      </c>
      <c r="B37" s="107" t="s">
        <v>48</v>
      </c>
      <c r="C37" s="112">
        <v>0.34889432500000006</v>
      </c>
      <c r="D37" s="112">
        <v>7.2632559999999999E-2</v>
      </c>
      <c r="E37" s="112">
        <v>0.33991763409987819</v>
      </c>
      <c r="F37" s="112">
        <v>0.28355032000000002</v>
      </c>
      <c r="G37" s="112">
        <v>0.40665452475811037</v>
      </c>
      <c r="H37" s="113">
        <v>0.31665819618426616</v>
      </c>
      <c r="I37" s="109"/>
      <c r="J37" s="110"/>
      <c r="K37" s="103"/>
      <c r="L37" s="114"/>
    </row>
    <row r="38" spans="1:12" x14ac:dyDescent="0.25">
      <c r="J38" s="110"/>
      <c r="K38" s="103"/>
      <c r="L38" s="114"/>
    </row>
  </sheetData>
  <autoFilter ref="A2:H2" xr:uid="{A3A0DE8E-DF22-4352-BF78-9A21B9F6F590}">
    <filterColumn colId="0" showButton="0"/>
    <sortState xmlns:xlrd2="http://schemas.microsoft.com/office/spreadsheetml/2017/richdata2" ref="A3:H37">
      <sortCondition descending="1" ref="H2"/>
    </sortState>
  </autoFilter>
  <mergeCells count="1">
    <mergeCell ref="A2:B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E2AFD-5DB2-4E78-BEC8-FAAC984501F1}">
  <dimension ref="A2:V46"/>
  <sheetViews>
    <sheetView workbookViewId="0">
      <selection activeCell="B4" sqref="B4"/>
    </sheetView>
  </sheetViews>
  <sheetFormatPr defaultRowHeight="15" x14ac:dyDescent="0.25"/>
  <cols>
    <col min="1" max="1" width="14.28515625" customWidth="1"/>
    <col min="2" max="2" width="16.7109375" customWidth="1"/>
    <col min="3" max="3" width="16.42578125" bestFit="1" customWidth="1"/>
    <col min="4" max="4" width="12.7109375" bestFit="1" customWidth="1"/>
    <col min="5" max="5" width="18" bestFit="1" customWidth="1"/>
    <col min="6" max="6" width="21.7109375" bestFit="1" customWidth="1"/>
    <col min="7" max="7" width="19.7109375" bestFit="1" customWidth="1"/>
    <col min="8" max="8" width="8.85546875" customWidth="1"/>
    <col min="9" max="10" width="8.85546875" style="108" customWidth="1"/>
    <col min="11" max="11" width="15.5703125" customWidth="1"/>
    <col min="12" max="12" width="17.140625" customWidth="1"/>
    <col min="13" max="14" width="15.5703125" customWidth="1"/>
    <col min="15" max="15" width="16.7109375" customWidth="1"/>
    <col min="16" max="17" width="17.85546875" customWidth="1"/>
    <col min="18" max="18" width="14.28515625" customWidth="1"/>
    <col min="19" max="19" width="19.28515625" customWidth="1"/>
    <col min="20" max="39" width="14.28515625" customWidth="1"/>
    <col min="40" max="40" width="10.7109375" bestFit="1" customWidth="1"/>
  </cols>
  <sheetData>
    <row r="2" spans="1:22" x14ac:dyDescent="0.25">
      <c r="A2" s="130" t="s">
        <v>158</v>
      </c>
      <c r="B2" s="130"/>
      <c r="C2" s="2" t="s">
        <v>1</v>
      </c>
      <c r="D2" s="2" t="s">
        <v>6</v>
      </c>
      <c r="E2" s="2" t="s">
        <v>149</v>
      </c>
      <c r="F2" s="2" t="s">
        <v>10</v>
      </c>
      <c r="G2" s="2" t="s">
        <v>150</v>
      </c>
      <c r="H2" s="111" t="s">
        <v>157</v>
      </c>
      <c r="J2" s="119"/>
      <c r="K2" s="120" t="s">
        <v>160</v>
      </c>
      <c r="L2" s="125" t="s">
        <v>163</v>
      </c>
      <c r="N2" s="119"/>
      <c r="O2" s="120" t="s">
        <v>170</v>
      </c>
      <c r="P2" s="125" t="s">
        <v>163</v>
      </c>
      <c r="Q2" s="126"/>
      <c r="R2" s="118"/>
      <c r="S2" s="118" t="s">
        <v>159</v>
      </c>
    </row>
    <row r="3" spans="1:22" x14ac:dyDescent="0.25">
      <c r="A3" s="106" t="s">
        <v>81</v>
      </c>
      <c r="B3" s="107" t="s">
        <v>48</v>
      </c>
      <c r="C3" s="112">
        <v>0.34889432500000006</v>
      </c>
      <c r="D3" s="112">
        <v>7.2632559999999999E-2</v>
      </c>
      <c r="E3" s="112">
        <v>0.33991763409987819</v>
      </c>
      <c r="F3" s="112">
        <v>0.28355032000000002</v>
      </c>
      <c r="G3" s="112">
        <v>0.40665452475811037</v>
      </c>
      <c r="H3" s="113">
        <v>0.31665819618426616</v>
      </c>
      <c r="I3" s="109"/>
      <c r="J3" s="119">
        <v>0</v>
      </c>
      <c r="K3" s="121">
        <v>0</v>
      </c>
      <c r="L3" s="117" t="s">
        <v>164</v>
      </c>
      <c r="N3" s="124">
        <f>J3/$J$38</f>
        <v>0</v>
      </c>
      <c r="O3" s="124">
        <f>K3/$K$38</f>
        <v>0</v>
      </c>
      <c r="P3" s="125" t="s">
        <v>164</v>
      </c>
      <c r="Q3" s="126"/>
      <c r="R3" s="118">
        <v>0</v>
      </c>
      <c r="S3" s="118">
        <v>0</v>
      </c>
    </row>
    <row r="4" spans="1:22" ht="30" x14ac:dyDescent="0.25">
      <c r="A4" s="106" t="s">
        <v>78</v>
      </c>
      <c r="B4" s="31" t="s">
        <v>172</v>
      </c>
      <c r="C4" s="112">
        <v>0.40036253999999999</v>
      </c>
      <c r="D4" s="112">
        <v>5.0792000000000004E-2</v>
      </c>
      <c r="E4" s="112">
        <v>0.31248449048128879</v>
      </c>
      <c r="F4" s="112">
        <v>0.32356594</v>
      </c>
      <c r="G4" s="112">
        <v>0.54417560000000009</v>
      </c>
      <c r="H4" s="113">
        <v>0.35006655691473731</v>
      </c>
      <c r="I4" s="109"/>
      <c r="J4" s="122">
        <v>1</v>
      </c>
      <c r="K4" s="123">
        <f>H3</f>
        <v>0.31665819618426616</v>
      </c>
      <c r="L4" s="117">
        <f>(K4+K3)/2*(J4-J3)</f>
        <v>0.15832909809213308</v>
      </c>
      <c r="M4" s="103"/>
      <c r="N4" s="124">
        <f t="shared" ref="N4:N38" si="0">J4/$J$38</f>
        <v>2.8571428571428571E-2</v>
      </c>
      <c r="O4" s="124">
        <f t="shared" ref="O4:O38" si="1">K4/$K$38</f>
        <v>1.8650119529388415E-2</v>
      </c>
      <c r="P4" s="117">
        <f>(O4+O3)/2*(N4-N3)</f>
        <v>2.6643027899126304E-4</v>
      </c>
      <c r="R4" s="118">
        <v>35</v>
      </c>
      <c r="S4" s="127">
        <v>16.978882933446283</v>
      </c>
    </row>
    <row r="5" spans="1:22" x14ac:dyDescent="0.25">
      <c r="A5" s="106" t="s">
        <v>70</v>
      </c>
      <c r="B5" s="107" t="s">
        <v>39</v>
      </c>
      <c r="C5" s="112">
        <v>0.54556700999999996</v>
      </c>
      <c r="D5" s="112">
        <v>0.46555953350458179</v>
      </c>
      <c r="E5" s="112">
        <v>0.11883096141868546</v>
      </c>
      <c r="F5" s="112">
        <v>0.31805712000000003</v>
      </c>
      <c r="G5" s="112">
        <v>0.55180840000000009</v>
      </c>
      <c r="H5" s="113">
        <v>0.35269908955154206</v>
      </c>
      <c r="I5" s="109"/>
      <c r="J5" s="122">
        <v>2</v>
      </c>
      <c r="K5" s="123">
        <f>K4+H4</f>
        <v>0.66672475309900348</v>
      </c>
      <c r="L5" s="117">
        <f>(K5+K4)/2*(J5-J4)</f>
        <v>0.49169147464163482</v>
      </c>
      <c r="M5" s="103"/>
      <c r="N5" s="124">
        <f t="shared" si="0"/>
        <v>5.7142857142857141E-2</v>
      </c>
      <c r="O5" s="124">
        <f t="shared" si="1"/>
        <v>3.9267880914923961E-2</v>
      </c>
      <c r="P5" s="117">
        <f t="shared" ref="P5:P38" si="2">(O5+O4)/2*(N5-N4)</f>
        <v>8.2740000634731964E-4</v>
      </c>
    </row>
    <row r="6" spans="1:22" x14ac:dyDescent="0.25">
      <c r="A6" s="106" t="s">
        <v>73</v>
      </c>
      <c r="B6" s="107" t="s">
        <v>42</v>
      </c>
      <c r="C6" s="112">
        <v>0.67786735499999995</v>
      </c>
      <c r="D6" s="112">
        <v>0.32567025708735281</v>
      </c>
      <c r="E6" s="112">
        <v>0.11852621501729108</v>
      </c>
      <c r="F6" s="112">
        <v>0.26207216</v>
      </c>
      <c r="G6" s="112">
        <v>0.65295520000000007</v>
      </c>
      <c r="H6" s="113">
        <v>0.36836050530003817</v>
      </c>
      <c r="I6" s="109"/>
      <c r="J6" s="122">
        <v>3</v>
      </c>
      <c r="K6" s="123">
        <f>K5+H5</f>
        <v>1.0194238426505455</v>
      </c>
      <c r="L6" s="117">
        <f t="shared" ref="L6:L38" si="3">(K6+K5)/2*(J6-J5)</f>
        <v>0.8430742978747745</v>
      </c>
      <c r="M6" s="103"/>
      <c r="N6" s="124">
        <f t="shared" si="0"/>
        <v>8.5714285714285715E-2</v>
      </c>
      <c r="O6" s="124">
        <f t="shared" si="1"/>
        <v>6.004068975835905E-2</v>
      </c>
      <c r="P6" s="117">
        <f t="shared" si="2"/>
        <v>1.418693866761186E-3</v>
      </c>
      <c r="V6" t="s">
        <v>161</v>
      </c>
    </row>
    <row r="7" spans="1:22" x14ac:dyDescent="0.25">
      <c r="A7" s="106" t="s">
        <v>80</v>
      </c>
      <c r="B7" s="107" t="s">
        <v>47</v>
      </c>
      <c r="C7" s="112">
        <v>0.27657685500000001</v>
      </c>
      <c r="D7" s="112">
        <v>0.12385713243684683</v>
      </c>
      <c r="E7" s="112">
        <v>0.35827352991391431</v>
      </c>
      <c r="F7" s="112">
        <v>0.47493014</v>
      </c>
      <c r="G7" s="112">
        <v>0.48520489470688671</v>
      </c>
      <c r="H7" s="113">
        <v>0.37962500398158189</v>
      </c>
      <c r="I7" s="109"/>
      <c r="J7" s="122">
        <v>4</v>
      </c>
      <c r="K7" s="123">
        <f t="shared" ref="K7:K38" si="4">K6+H6</f>
        <v>1.3877843479505838</v>
      </c>
      <c r="L7" s="117">
        <f t="shared" si="3"/>
        <v>1.2036040953005647</v>
      </c>
      <c r="M7" s="103"/>
      <c r="N7" s="124">
        <f t="shared" si="0"/>
        <v>0.11428571428571428</v>
      </c>
      <c r="O7" s="124">
        <f t="shared" si="1"/>
        <v>8.1735904145779914E-2</v>
      </c>
      <c r="P7" s="117">
        <f t="shared" si="2"/>
        <v>2.0253799129162707E-3</v>
      </c>
    </row>
    <row r="8" spans="1:22" x14ac:dyDescent="0.25">
      <c r="A8" s="106" t="s">
        <v>77</v>
      </c>
      <c r="B8" s="107" t="s">
        <v>45</v>
      </c>
      <c r="C8" s="112">
        <v>0.28688462999999997</v>
      </c>
      <c r="D8" s="112">
        <v>2.1049952668659951E-2</v>
      </c>
      <c r="E8" s="112">
        <v>0.28456926448536063</v>
      </c>
      <c r="F8" s="112">
        <v>0.43910988000000001</v>
      </c>
      <c r="G8" s="112">
        <v>0.77070440000000007</v>
      </c>
      <c r="H8" s="113">
        <v>0.38416217429624377</v>
      </c>
      <c r="I8" s="109"/>
      <c r="J8" s="122">
        <v>5</v>
      </c>
      <c r="K8" s="123">
        <f t="shared" si="4"/>
        <v>1.7674093519321656</v>
      </c>
      <c r="L8" s="117">
        <f t="shared" si="3"/>
        <v>1.5775968499413748</v>
      </c>
      <c r="M8" s="103"/>
      <c r="N8" s="124">
        <f t="shared" si="0"/>
        <v>0.14285714285714285</v>
      </c>
      <c r="O8" s="124">
        <f t="shared" si="1"/>
        <v>0.10409456021694982</v>
      </c>
      <c r="P8" s="117">
        <f t="shared" si="2"/>
        <v>2.6547209194675674E-3</v>
      </c>
      <c r="R8" s="118"/>
      <c r="S8" s="118" t="s">
        <v>159</v>
      </c>
    </row>
    <row r="9" spans="1:22" x14ac:dyDescent="0.25">
      <c r="A9" s="106" t="s">
        <v>75</v>
      </c>
      <c r="B9" s="107" t="s">
        <v>96</v>
      </c>
      <c r="C9" s="112">
        <v>0.36000341999999996</v>
      </c>
      <c r="D9" s="112">
        <v>0.2155323159086025</v>
      </c>
      <c r="E9" s="112">
        <v>0.38374293766269163</v>
      </c>
      <c r="F9" s="112">
        <v>0.40998915999999996</v>
      </c>
      <c r="G9" s="112">
        <v>0.6763344</v>
      </c>
      <c r="H9" s="113">
        <v>0.41744644389701502</v>
      </c>
      <c r="I9" s="109"/>
      <c r="J9" s="122">
        <v>6</v>
      </c>
      <c r="K9" s="123">
        <f t="shared" si="4"/>
        <v>2.1515715262284094</v>
      </c>
      <c r="L9" s="117">
        <f t="shared" si="3"/>
        <v>1.9594904390802874</v>
      </c>
      <c r="M9" s="103"/>
      <c r="N9" s="124">
        <f t="shared" si="0"/>
        <v>0.17142857142857143</v>
      </c>
      <c r="O9" s="124">
        <f t="shared" si="1"/>
        <v>0.12672044060036963</v>
      </c>
      <c r="P9" s="117">
        <f t="shared" si="2"/>
        <v>3.2973571545331362E-3</v>
      </c>
      <c r="R9" s="118">
        <v>0</v>
      </c>
      <c r="S9" s="128">
        <v>0</v>
      </c>
    </row>
    <row r="10" spans="1:22" x14ac:dyDescent="0.25">
      <c r="A10" s="106" t="s">
        <v>72</v>
      </c>
      <c r="B10" s="107" t="s">
        <v>41</v>
      </c>
      <c r="C10" s="112">
        <v>0.37886684500000001</v>
      </c>
      <c r="D10" s="112">
        <v>0.11582386566916616</v>
      </c>
      <c r="E10" s="112">
        <v>0.26832282215401948</v>
      </c>
      <c r="F10" s="112">
        <v>0.52677059999999998</v>
      </c>
      <c r="G10" s="112">
        <v>0.67188040000000004</v>
      </c>
      <c r="H10" s="113">
        <v>0.41766985201083279</v>
      </c>
      <c r="I10" s="109"/>
      <c r="J10" s="122">
        <v>7</v>
      </c>
      <c r="K10" s="123">
        <f t="shared" si="4"/>
        <v>2.5690179701254245</v>
      </c>
      <c r="L10" s="117">
        <f t="shared" si="3"/>
        <v>2.360294748176917</v>
      </c>
      <c r="M10" s="103"/>
      <c r="N10" s="124">
        <f t="shared" si="0"/>
        <v>0.2</v>
      </c>
      <c r="O10" s="124">
        <f t="shared" si="1"/>
        <v>0.15130665428317311</v>
      </c>
      <c r="P10" s="117">
        <f t="shared" si="2"/>
        <v>3.971815641193469E-3</v>
      </c>
      <c r="R10" s="118">
        <v>1</v>
      </c>
      <c r="S10" s="129">
        <v>1</v>
      </c>
    </row>
    <row r="11" spans="1:22" x14ac:dyDescent="0.25">
      <c r="A11" s="106" t="s">
        <v>64</v>
      </c>
      <c r="B11" s="107" t="s">
        <v>33</v>
      </c>
      <c r="C11" s="112">
        <v>0.55357906000000001</v>
      </c>
      <c r="D11" s="112">
        <v>0.35095400120610676</v>
      </c>
      <c r="E11" s="112">
        <v>0.16837770213691144</v>
      </c>
      <c r="F11" s="112">
        <v>0.46570116000000006</v>
      </c>
      <c r="G11" s="112">
        <v>0.69888680000000003</v>
      </c>
      <c r="H11" s="113">
        <v>0.4266998851134447</v>
      </c>
      <c r="I11" s="109"/>
      <c r="J11" s="122">
        <v>8</v>
      </c>
      <c r="K11" s="123">
        <f t="shared" si="4"/>
        <v>2.9866878221362572</v>
      </c>
      <c r="L11" s="117">
        <f t="shared" si="3"/>
        <v>2.7778528961308409</v>
      </c>
      <c r="M11" s="103"/>
      <c r="N11" s="124">
        <f t="shared" si="0"/>
        <v>0.22857142857142856</v>
      </c>
      <c r="O11" s="124">
        <f t="shared" si="1"/>
        <v>0.17590602596433799</v>
      </c>
      <c r="P11" s="117">
        <f t="shared" si="2"/>
        <v>4.6744668606787275E-3</v>
      </c>
    </row>
    <row r="12" spans="1:22" x14ac:dyDescent="0.25">
      <c r="A12" s="106" t="s">
        <v>62</v>
      </c>
      <c r="B12" s="107" t="s">
        <v>31</v>
      </c>
      <c r="C12" s="112">
        <v>0.69076873500000002</v>
      </c>
      <c r="D12" s="112">
        <v>0.49108710798430022</v>
      </c>
      <c r="E12" s="112">
        <v>0.12990184040924591</v>
      </c>
      <c r="F12" s="112">
        <v>0.38091464000000003</v>
      </c>
      <c r="G12" s="112">
        <v>0.70731440000000012</v>
      </c>
      <c r="H12" s="113">
        <v>0.42899950250308572</v>
      </c>
      <c r="I12" s="109"/>
      <c r="J12" s="122">
        <v>9</v>
      </c>
      <c r="K12" s="123">
        <f t="shared" si="4"/>
        <v>3.4133877072497016</v>
      </c>
      <c r="L12" s="117">
        <f t="shared" si="3"/>
        <v>3.2000377646929792</v>
      </c>
      <c r="M12" s="103"/>
      <c r="N12" s="124">
        <f t="shared" si="0"/>
        <v>0.25714285714285712</v>
      </c>
      <c r="O12" s="124">
        <f t="shared" si="1"/>
        <v>0.20103723670334953</v>
      </c>
      <c r="P12" s="117">
        <f t="shared" si="2"/>
        <v>5.3849037523955329E-3</v>
      </c>
    </row>
    <row r="13" spans="1:22" x14ac:dyDescent="0.25">
      <c r="A13" s="106" t="s">
        <v>79</v>
      </c>
      <c r="B13" s="107" t="s">
        <v>46</v>
      </c>
      <c r="C13" s="112">
        <v>0.50227591999999999</v>
      </c>
      <c r="D13" s="112">
        <v>0.18049262889513421</v>
      </c>
      <c r="E13" s="112">
        <v>0.33916643712932065</v>
      </c>
      <c r="F13" s="112">
        <v>0.4611922</v>
      </c>
      <c r="G13" s="112">
        <v>0.61328959999999999</v>
      </c>
      <c r="H13" s="113">
        <v>0.43902739724554296</v>
      </c>
      <c r="I13" s="109"/>
      <c r="J13" s="122">
        <v>10</v>
      </c>
      <c r="K13" s="123">
        <f t="shared" si="4"/>
        <v>3.8423872097527871</v>
      </c>
      <c r="L13" s="117">
        <f t="shared" si="3"/>
        <v>3.6278874585012444</v>
      </c>
      <c r="M13" s="103"/>
      <c r="N13" s="124">
        <f t="shared" si="0"/>
        <v>0.2857142857142857</v>
      </c>
      <c r="O13" s="124">
        <f t="shared" si="1"/>
        <v>0.22630388729424381</v>
      </c>
      <c r="P13" s="117">
        <f t="shared" si="2"/>
        <v>6.1048731999656207E-3</v>
      </c>
    </row>
    <row r="14" spans="1:22" x14ac:dyDescent="0.25">
      <c r="A14" s="106" t="s">
        <v>53</v>
      </c>
      <c r="B14" s="107" t="s">
        <v>21</v>
      </c>
      <c r="C14" s="112">
        <v>0.34382539000000001</v>
      </c>
      <c r="D14" s="112">
        <v>0.11864323886260744</v>
      </c>
      <c r="E14" s="112">
        <v>0.20296315028973874</v>
      </c>
      <c r="F14" s="112">
        <v>0.68231735999999998</v>
      </c>
      <c r="G14" s="112">
        <v>0.67217199999999999</v>
      </c>
      <c r="H14" s="113">
        <v>0.43982035309835932</v>
      </c>
      <c r="I14" s="109"/>
      <c r="J14" s="122">
        <v>11</v>
      </c>
      <c r="K14" s="123">
        <f t="shared" si="4"/>
        <v>4.2814146069983305</v>
      </c>
      <c r="L14" s="117">
        <f t="shared" si="3"/>
        <v>4.0619009083755593</v>
      </c>
      <c r="M14" s="103"/>
      <c r="N14" s="124">
        <f t="shared" si="0"/>
        <v>0.31428571428571428</v>
      </c>
      <c r="O14" s="124">
        <f t="shared" si="1"/>
        <v>0.25216114769037468</v>
      </c>
      <c r="P14" s="117">
        <f t="shared" si="2"/>
        <v>6.8352147854945514E-3</v>
      </c>
    </row>
    <row r="15" spans="1:22" x14ac:dyDescent="0.25">
      <c r="A15" s="106" t="s">
        <v>74</v>
      </c>
      <c r="B15" s="107" t="s">
        <v>43</v>
      </c>
      <c r="C15" s="112">
        <v>0.63674856000000002</v>
      </c>
      <c r="D15" s="112">
        <v>0.2788653323180233</v>
      </c>
      <c r="E15" s="112">
        <v>0.35858799764312016</v>
      </c>
      <c r="F15" s="112">
        <v>0.40412833999999997</v>
      </c>
      <c r="G15" s="112">
        <v>0.49664640000000004</v>
      </c>
      <c r="H15" s="113">
        <v>0.44487794887079002</v>
      </c>
      <c r="I15" s="109"/>
      <c r="J15" s="122">
        <v>12</v>
      </c>
      <c r="K15" s="123">
        <f t="shared" si="4"/>
        <v>4.7212349600966901</v>
      </c>
      <c r="L15" s="117">
        <f t="shared" si="3"/>
        <v>4.5013247835475099</v>
      </c>
      <c r="M15" s="103"/>
      <c r="N15" s="124">
        <f t="shared" si="0"/>
        <v>0.34285714285714286</v>
      </c>
      <c r="O15" s="124">
        <f t="shared" si="1"/>
        <v>0.27806511056133415</v>
      </c>
      <c r="P15" s="117">
        <f t="shared" si="2"/>
        <v>7.5746608321672704E-3</v>
      </c>
    </row>
    <row r="16" spans="1:22" x14ac:dyDescent="0.25">
      <c r="A16" s="106" t="s">
        <v>71</v>
      </c>
      <c r="B16" s="107" t="s">
        <v>40</v>
      </c>
      <c r="C16" s="112">
        <v>0.44021503499999998</v>
      </c>
      <c r="D16" s="112">
        <v>0.13927330418277856</v>
      </c>
      <c r="E16" s="112">
        <v>0.4816753598058332</v>
      </c>
      <c r="F16" s="112">
        <v>0.46097591999999998</v>
      </c>
      <c r="G16" s="112">
        <v>0.5439676</v>
      </c>
      <c r="H16" s="113">
        <v>0.453265424255754</v>
      </c>
      <c r="I16" s="109"/>
      <c r="J16" s="122">
        <v>13</v>
      </c>
      <c r="K16" s="123">
        <f t="shared" si="4"/>
        <v>5.16611290896748</v>
      </c>
      <c r="L16" s="117">
        <f t="shared" si="3"/>
        <v>4.943673934532085</v>
      </c>
      <c r="M16" s="103"/>
      <c r="N16" s="124">
        <f t="shared" si="0"/>
        <v>0.37142857142857144</v>
      </c>
      <c r="O16" s="124">
        <f t="shared" si="1"/>
        <v>0.30426694908125446</v>
      </c>
      <c r="P16" s="117">
        <f t="shared" si="2"/>
        <v>8.3190294234655546E-3</v>
      </c>
    </row>
    <row r="17" spans="1:16" x14ac:dyDescent="0.25">
      <c r="A17" s="106" t="s">
        <v>52</v>
      </c>
      <c r="B17" s="107" t="s">
        <v>20</v>
      </c>
      <c r="C17" s="112">
        <v>0.635318885</v>
      </c>
      <c r="D17" s="112">
        <v>0.16322107429024188</v>
      </c>
      <c r="E17" s="112">
        <v>0.20309946946781812</v>
      </c>
      <c r="F17" s="112">
        <v>0.54975350000000001</v>
      </c>
      <c r="G17" s="112">
        <v>0.67059120000000005</v>
      </c>
      <c r="H17" s="113">
        <v>0.4628180819432095</v>
      </c>
      <c r="I17" s="109"/>
      <c r="J17" s="122">
        <v>14</v>
      </c>
      <c r="K17" s="123">
        <f t="shared" si="4"/>
        <v>5.6193783332232341</v>
      </c>
      <c r="L17" s="117">
        <f t="shared" si="3"/>
        <v>5.392745621095357</v>
      </c>
      <c r="M17" s="103"/>
      <c r="N17" s="124">
        <f t="shared" si="0"/>
        <v>0.4</v>
      </c>
      <c r="O17" s="124">
        <f t="shared" si="1"/>
        <v>0.33096278213649494</v>
      </c>
      <c r="P17" s="117">
        <f t="shared" si="2"/>
        <v>9.0747104459678509E-3</v>
      </c>
    </row>
    <row r="18" spans="1:16" x14ac:dyDescent="0.25">
      <c r="A18" s="106" t="s">
        <v>76</v>
      </c>
      <c r="B18" s="107" t="s">
        <v>44</v>
      </c>
      <c r="C18" s="112">
        <v>0.522958645</v>
      </c>
      <c r="D18" s="112">
        <v>0.22210951998596482</v>
      </c>
      <c r="E18" s="112">
        <v>0.3262218992927256</v>
      </c>
      <c r="F18" s="112">
        <v>0.51269586</v>
      </c>
      <c r="G18" s="112">
        <v>0.6952252000000001</v>
      </c>
      <c r="H18" s="113">
        <v>0.46980301761587107</v>
      </c>
      <c r="I18" s="109"/>
      <c r="J18" s="122">
        <v>15</v>
      </c>
      <c r="K18" s="123">
        <f t="shared" si="4"/>
        <v>6.0821964151664432</v>
      </c>
      <c r="L18" s="117">
        <f t="shared" si="3"/>
        <v>5.8507873741948391</v>
      </c>
      <c r="M18" s="103"/>
      <c r="N18" s="124">
        <f t="shared" si="0"/>
        <v>0.42857142857142855</v>
      </c>
      <c r="O18" s="124">
        <f t="shared" si="1"/>
        <v>0.35822123510759796</v>
      </c>
      <c r="P18" s="117">
        <f t="shared" si="2"/>
        <v>9.8454859606298822E-3</v>
      </c>
    </row>
    <row r="19" spans="1:16" x14ac:dyDescent="0.25">
      <c r="A19" s="106" t="s">
        <v>51</v>
      </c>
      <c r="B19" s="107" t="s">
        <v>19</v>
      </c>
      <c r="C19" s="112">
        <v>0.646326505</v>
      </c>
      <c r="D19" s="112">
        <v>0.11212766940128666</v>
      </c>
      <c r="E19" s="112">
        <v>0.20350297279392529</v>
      </c>
      <c r="F19" s="112">
        <v>0.60577861999999993</v>
      </c>
      <c r="G19" s="112">
        <v>0.75237920000000014</v>
      </c>
      <c r="H19" s="113">
        <v>0.49062137319382826</v>
      </c>
      <c r="I19" s="109"/>
      <c r="J19" s="122">
        <v>16</v>
      </c>
      <c r="K19" s="123">
        <f t="shared" si="4"/>
        <v>6.5519994327823143</v>
      </c>
      <c r="L19" s="117">
        <f t="shared" si="3"/>
        <v>6.3170979239743783</v>
      </c>
      <c r="M19" s="103"/>
      <c r="N19" s="124">
        <f t="shared" si="0"/>
        <v>0.45714285714285713</v>
      </c>
      <c r="O19" s="124">
        <f t="shared" si="1"/>
        <v>0.38589107766775943</v>
      </c>
      <c r="P19" s="117">
        <f t="shared" si="2"/>
        <v>1.0630175896790823E-2</v>
      </c>
    </row>
    <row r="20" spans="1:16" x14ac:dyDescent="0.25">
      <c r="A20" s="106" t="s">
        <v>60</v>
      </c>
      <c r="B20" s="107" t="s">
        <v>29</v>
      </c>
      <c r="C20" s="112">
        <v>0.50703099500000004</v>
      </c>
      <c r="D20" s="112">
        <v>0.21263304569854968</v>
      </c>
      <c r="E20" s="112">
        <v>0.30589877707239488</v>
      </c>
      <c r="F20" s="112">
        <v>0.62406089999999992</v>
      </c>
      <c r="G20" s="112">
        <v>0.73775600000000008</v>
      </c>
      <c r="H20" s="113">
        <v>0.50022766757436443</v>
      </c>
      <c r="I20" s="109"/>
      <c r="J20" s="122">
        <v>17</v>
      </c>
      <c r="K20" s="123">
        <f t="shared" si="4"/>
        <v>7.0426208059761422</v>
      </c>
      <c r="L20" s="117">
        <f t="shared" si="3"/>
        <v>6.7973101193792278</v>
      </c>
      <c r="M20" s="103"/>
      <c r="N20" s="124">
        <f t="shared" si="0"/>
        <v>0.48571428571428571</v>
      </c>
      <c r="O20" s="124">
        <f t="shared" si="1"/>
        <v>0.4147870524569704</v>
      </c>
      <c r="P20" s="117">
        <f t="shared" si="2"/>
        <v>1.1438259001781859E-2</v>
      </c>
    </row>
    <row r="21" spans="1:16" x14ac:dyDescent="0.25">
      <c r="A21" s="106" t="s">
        <v>171</v>
      </c>
      <c r="B21" s="107" t="s">
        <v>28</v>
      </c>
      <c r="C21" s="112">
        <v>0.66450627000000007</v>
      </c>
      <c r="D21" s="112">
        <v>0.38792094466935201</v>
      </c>
      <c r="E21" s="112">
        <v>0.36472279992584322</v>
      </c>
      <c r="F21" s="112">
        <v>0.47654293999999997</v>
      </c>
      <c r="G21" s="112">
        <v>0.63217120000000004</v>
      </c>
      <c r="H21" s="113">
        <v>0.50084835873235634</v>
      </c>
      <c r="I21" s="109"/>
      <c r="J21" s="122">
        <v>18</v>
      </c>
      <c r="K21" s="123">
        <f t="shared" si="4"/>
        <v>7.5428484735505066</v>
      </c>
      <c r="L21" s="117">
        <f t="shared" si="3"/>
        <v>7.2927346397633244</v>
      </c>
      <c r="M21" s="103"/>
      <c r="N21" s="124">
        <f t="shared" si="0"/>
        <v>0.51428571428571423</v>
      </c>
      <c r="O21" s="124">
        <f t="shared" si="1"/>
        <v>0.44424880618571411</v>
      </c>
      <c r="P21" s="117">
        <f t="shared" si="2"/>
        <v>1.2271940837752616E-2</v>
      </c>
    </row>
    <row r="22" spans="1:16" x14ac:dyDescent="0.25">
      <c r="A22" s="106" t="s">
        <v>65</v>
      </c>
      <c r="B22" s="107" t="s">
        <v>34</v>
      </c>
      <c r="C22" s="112">
        <v>0.6593966</v>
      </c>
      <c r="D22" s="112">
        <v>0.40651641000637417</v>
      </c>
      <c r="E22" s="112">
        <v>0.33518155871341482</v>
      </c>
      <c r="F22" s="112">
        <v>0.46033992000000001</v>
      </c>
      <c r="G22" s="112">
        <v>0.79421520000000001</v>
      </c>
      <c r="H22" s="113">
        <v>0.51084441544170367</v>
      </c>
      <c r="I22" s="109"/>
      <c r="J22" s="122">
        <v>19</v>
      </c>
      <c r="K22" s="123">
        <f t="shared" si="4"/>
        <v>8.0436968322828637</v>
      </c>
      <c r="L22" s="117">
        <f t="shared" si="3"/>
        <v>7.7932726529166851</v>
      </c>
      <c r="M22" s="103"/>
      <c r="N22" s="124">
        <f t="shared" si="0"/>
        <v>0.54285714285714282</v>
      </c>
      <c r="O22" s="124">
        <f t="shared" si="1"/>
        <v>0.47374711656900487</v>
      </c>
      <c r="P22" s="117">
        <f t="shared" si="2"/>
        <v>1.3114227467924561E-2</v>
      </c>
    </row>
    <row r="23" spans="1:16" ht="26.25" customHeight="1" x14ac:dyDescent="0.25">
      <c r="A23" s="106" t="s">
        <v>61</v>
      </c>
      <c r="B23" s="107" t="s">
        <v>30</v>
      </c>
      <c r="C23" s="112">
        <v>0.58336840500000009</v>
      </c>
      <c r="D23" s="112">
        <v>0.42715464661997848</v>
      </c>
      <c r="E23" s="112">
        <v>0.33803070717100608</v>
      </c>
      <c r="F23" s="112">
        <v>0.55129633999999994</v>
      </c>
      <c r="G23" s="112">
        <v>0.76143040000000006</v>
      </c>
      <c r="H23" s="113">
        <v>0.52023995993832906</v>
      </c>
      <c r="I23" s="109"/>
      <c r="J23" s="122">
        <v>20</v>
      </c>
      <c r="K23" s="123">
        <f t="shared" si="4"/>
        <v>8.5545412477245666</v>
      </c>
      <c r="L23" s="117">
        <f t="shared" si="3"/>
        <v>8.2991190400037151</v>
      </c>
      <c r="M23" s="103"/>
      <c r="N23" s="124">
        <f t="shared" si="0"/>
        <v>0.5714285714285714</v>
      </c>
      <c r="O23" s="124">
        <f t="shared" si="1"/>
        <v>0.50383416160277461</v>
      </c>
      <c r="P23" s="117">
        <f t="shared" si="2"/>
        <v>1.3965446831025425E-2</v>
      </c>
    </row>
    <row r="24" spans="1:16" x14ac:dyDescent="0.25">
      <c r="A24" s="106" t="s">
        <v>69</v>
      </c>
      <c r="B24" s="107" t="s">
        <v>38</v>
      </c>
      <c r="C24" s="112">
        <v>0.56374321500000002</v>
      </c>
      <c r="D24" s="112">
        <v>0.26198498977661355</v>
      </c>
      <c r="E24" s="112">
        <v>0.50492180007202925</v>
      </c>
      <c r="F24" s="112">
        <v>0.393015</v>
      </c>
      <c r="G24" s="112">
        <v>0.87976279999999996</v>
      </c>
      <c r="H24" s="113">
        <v>0.52049124365134891</v>
      </c>
      <c r="I24" s="109"/>
      <c r="J24" s="122">
        <v>21</v>
      </c>
      <c r="K24" s="123">
        <f t="shared" si="4"/>
        <v>9.0747812076628964</v>
      </c>
      <c r="L24" s="117">
        <f t="shared" si="3"/>
        <v>8.8146612276937315</v>
      </c>
      <c r="M24" s="103"/>
      <c r="N24" s="124">
        <f t="shared" si="0"/>
        <v>0.6</v>
      </c>
      <c r="O24" s="124">
        <f t="shared" si="1"/>
        <v>0.53447457310555502</v>
      </c>
      <c r="P24" s="117">
        <f t="shared" si="2"/>
        <v>1.4832981924404713E-2</v>
      </c>
    </row>
    <row r="25" spans="1:16" x14ac:dyDescent="0.25">
      <c r="A25" s="106" t="s">
        <v>63</v>
      </c>
      <c r="B25" s="107" t="s">
        <v>32</v>
      </c>
      <c r="C25" s="112">
        <v>0.69083377000000001</v>
      </c>
      <c r="D25" s="112">
        <v>0.25034693414936143</v>
      </c>
      <c r="E25" s="112">
        <v>0.29839336584164322</v>
      </c>
      <c r="F25" s="112">
        <v>0.52199967999999997</v>
      </c>
      <c r="G25" s="112">
        <v>0.84225240000000001</v>
      </c>
      <c r="H25" s="113">
        <v>0.5225975953944918</v>
      </c>
      <c r="I25" s="109"/>
      <c r="J25" s="122">
        <v>22</v>
      </c>
      <c r="K25" s="123">
        <f t="shared" si="4"/>
        <v>9.595272451314246</v>
      </c>
      <c r="L25" s="117">
        <f t="shared" si="3"/>
        <v>9.3350268294885712</v>
      </c>
      <c r="M25" s="103"/>
      <c r="N25" s="124">
        <f t="shared" si="0"/>
        <v>0.62857142857142856</v>
      </c>
      <c r="O25" s="124">
        <f t="shared" si="1"/>
        <v>0.56512978438721406</v>
      </c>
      <c r="P25" s="117">
        <f t="shared" si="2"/>
        <v>1.5708633678468132E-2</v>
      </c>
    </row>
    <row r="26" spans="1:16" x14ac:dyDescent="0.25">
      <c r="A26" s="106" t="s">
        <v>57</v>
      </c>
      <c r="B26" s="107" t="s">
        <v>25</v>
      </c>
      <c r="C26" s="112">
        <v>0.64761148499999999</v>
      </c>
      <c r="D26" s="112">
        <v>0.56523878880686684</v>
      </c>
      <c r="E26" s="112">
        <v>0.36124299881999994</v>
      </c>
      <c r="F26" s="112">
        <v>0.45037382000000004</v>
      </c>
      <c r="G26" s="112">
        <v>0.79489960000000004</v>
      </c>
      <c r="H26" s="113">
        <v>0.52306134183949382</v>
      </c>
      <c r="I26" s="109"/>
      <c r="J26" s="122">
        <v>23</v>
      </c>
      <c r="K26" s="123">
        <f t="shared" si="4"/>
        <v>10.117870046708738</v>
      </c>
      <c r="L26" s="117">
        <f t="shared" si="3"/>
        <v>9.8565712490114912</v>
      </c>
      <c r="M26" s="103"/>
      <c r="N26" s="124">
        <f t="shared" si="0"/>
        <v>0.65714285714285714</v>
      </c>
      <c r="O26" s="124">
        <f t="shared" si="1"/>
        <v>0.59590905281393958</v>
      </c>
      <c r="P26" s="117">
        <f t="shared" si="2"/>
        <v>1.658626910287363E-2</v>
      </c>
    </row>
    <row r="27" spans="1:16" x14ac:dyDescent="0.25">
      <c r="A27" s="106" t="s">
        <v>49</v>
      </c>
      <c r="B27" s="107" t="s">
        <v>17</v>
      </c>
      <c r="C27" s="112">
        <v>0.64280691999999995</v>
      </c>
      <c r="D27" s="112">
        <v>0.32379486089219434</v>
      </c>
      <c r="E27" s="112">
        <v>0.20976968814918651</v>
      </c>
      <c r="F27" s="112">
        <v>0.66007415999999997</v>
      </c>
      <c r="G27" s="112">
        <v>0.8010948</v>
      </c>
      <c r="H27" s="113">
        <v>0.52892572915593628</v>
      </c>
      <c r="I27" s="109"/>
      <c r="J27" s="122">
        <v>24</v>
      </c>
      <c r="K27" s="123">
        <f t="shared" si="4"/>
        <v>10.640931388548232</v>
      </c>
      <c r="L27" s="117">
        <f t="shared" si="3"/>
        <v>10.379400717628485</v>
      </c>
      <c r="M27" s="103"/>
      <c r="N27" s="124">
        <f t="shared" si="0"/>
        <v>0.68571428571428572</v>
      </c>
      <c r="O27" s="124">
        <f t="shared" si="1"/>
        <v>0.62671563437114719</v>
      </c>
      <c r="P27" s="117">
        <f t="shared" si="2"/>
        <v>1.7466066959786961E-2</v>
      </c>
    </row>
    <row r="28" spans="1:16" x14ac:dyDescent="0.25">
      <c r="A28" s="106" t="s">
        <v>54</v>
      </c>
      <c r="B28" s="107" t="s">
        <v>22</v>
      </c>
      <c r="C28" s="112">
        <v>0.71726882500000011</v>
      </c>
      <c r="D28" s="112">
        <v>0.39685516974894702</v>
      </c>
      <c r="E28" s="112">
        <v>0.27364417443448935</v>
      </c>
      <c r="F28" s="112">
        <v>0.52456413999999996</v>
      </c>
      <c r="G28" s="112">
        <v>0.83696920000000008</v>
      </c>
      <c r="H28" s="113">
        <v>0.53077554230719604</v>
      </c>
      <c r="I28" s="109"/>
      <c r="J28" s="122">
        <v>25</v>
      </c>
      <c r="K28" s="123">
        <f t="shared" si="4"/>
        <v>11.169857117704169</v>
      </c>
      <c r="L28" s="117">
        <f t="shared" si="3"/>
        <v>10.9053942531262</v>
      </c>
      <c r="M28" s="103"/>
      <c r="N28" s="124">
        <f t="shared" si="0"/>
        <v>0.7142857142857143</v>
      </c>
      <c r="O28" s="124">
        <f t="shared" si="1"/>
        <v>0.65786760892855578</v>
      </c>
      <c r="P28" s="117">
        <f t="shared" si="2"/>
        <v>1.8351189189995766E-2</v>
      </c>
    </row>
    <row r="29" spans="1:16" x14ac:dyDescent="0.25">
      <c r="A29" s="106" t="s">
        <v>59</v>
      </c>
      <c r="B29" s="107" t="s">
        <v>27</v>
      </c>
      <c r="C29" s="112">
        <v>0.66246691000000002</v>
      </c>
      <c r="D29" s="112">
        <v>0.31718616189744087</v>
      </c>
      <c r="E29" s="112">
        <v>0.36551260596193563</v>
      </c>
      <c r="F29" s="112">
        <v>0.51571212</v>
      </c>
      <c r="G29" s="112">
        <v>0.79456000000000016</v>
      </c>
      <c r="H29" s="113">
        <v>0.53107689983453266</v>
      </c>
      <c r="I29" s="109"/>
      <c r="J29" s="122">
        <v>26</v>
      </c>
      <c r="K29" s="123">
        <f t="shared" si="4"/>
        <v>11.700632660011365</v>
      </c>
      <c r="L29" s="117">
        <f t="shared" si="3"/>
        <v>11.435244888857767</v>
      </c>
      <c r="M29" s="103"/>
      <c r="N29" s="124">
        <f t="shared" si="0"/>
        <v>0.74285714285714288</v>
      </c>
      <c r="O29" s="124">
        <f t="shared" si="1"/>
        <v>0.68912853135718233</v>
      </c>
      <c r="P29" s="117">
        <f t="shared" si="2"/>
        <v>1.9242802004081978E-2</v>
      </c>
    </row>
    <row r="30" spans="1:16" x14ac:dyDescent="0.25">
      <c r="A30" s="106" t="s">
        <v>67</v>
      </c>
      <c r="B30" s="107" t="s">
        <v>36</v>
      </c>
      <c r="C30" s="112">
        <v>0.75883447500000001</v>
      </c>
      <c r="D30" s="112">
        <v>0.5007369710748546</v>
      </c>
      <c r="E30" s="112">
        <v>0.42085535686958664</v>
      </c>
      <c r="F30" s="112">
        <v>0.39645452000000003</v>
      </c>
      <c r="G30" s="112">
        <v>0.80132440000000005</v>
      </c>
      <c r="H30" s="113">
        <v>0.54313021306127651</v>
      </c>
      <c r="I30" s="109"/>
      <c r="J30" s="122">
        <v>27</v>
      </c>
      <c r="K30" s="123">
        <f t="shared" si="4"/>
        <v>12.231709559845898</v>
      </c>
      <c r="L30" s="117">
        <f t="shared" si="3"/>
        <v>11.966171109928631</v>
      </c>
      <c r="M30" s="103"/>
      <c r="N30" s="124">
        <f t="shared" si="0"/>
        <v>0.77142857142857146</v>
      </c>
      <c r="O30" s="124">
        <f t="shared" si="1"/>
        <v>0.72040720274659265</v>
      </c>
      <c r="P30" s="117">
        <f t="shared" si="2"/>
        <v>2.013622477291108E-2</v>
      </c>
    </row>
    <row r="31" spans="1:16" ht="30" x14ac:dyDescent="0.25">
      <c r="A31" s="106" t="s">
        <v>55</v>
      </c>
      <c r="B31" s="107" t="s">
        <v>23</v>
      </c>
      <c r="C31" s="112">
        <v>0.62265356000000005</v>
      </c>
      <c r="D31" s="112">
        <v>0.59150555506206037</v>
      </c>
      <c r="E31" s="112">
        <v>0.43180370663506984</v>
      </c>
      <c r="F31" s="112">
        <v>0.46840176</v>
      </c>
      <c r="G31" s="112">
        <v>0.83708879999999997</v>
      </c>
      <c r="H31" s="113">
        <v>0.55076778302622453</v>
      </c>
      <c r="I31" s="109"/>
      <c r="J31" s="122">
        <v>28</v>
      </c>
      <c r="K31" s="123">
        <f t="shared" si="4"/>
        <v>12.774839772907175</v>
      </c>
      <c r="L31" s="117">
        <f t="shared" si="3"/>
        <v>12.503274666376537</v>
      </c>
      <c r="M31" s="103"/>
      <c r="N31" s="124">
        <f t="shared" si="0"/>
        <v>0.8</v>
      </c>
      <c r="O31" s="124">
        <f t="shared" si="1"/>
        <v>0.75239577438527083</v>
      </c>
      <c r="P31" s="117">
        <f t="shared" si="2"/>
        <v>2.1040042530455202E-2</v>
      </c>
    </row>
    <row r="32" spans="1:16" x14ac:dyDescent="0.25">
      <c r="A32" s="106" t="s">
        <v>58</v>
      </c>
      <c r="B32" s="107" t="s">
        <v>26</v>
      </c>
      <c r="C32" s="112">
        <v>0.70440694500000012</v>
      </c>
      <c r="D32" s="112">
        <v>0.36417864</v>
      </c>
      <c r="E32" s="112">
        <v>0.38466852000000001</v>
      </c>
      <c r="F32" s="112">
        <v>0.52614430000000001</v>
      </c>
      <c r="G32" s="112">
        <v>0.92273360000000004</v>
      </c>
      <c r="H32" s="113">
        <v>0.5696317692670001</v>
      </c>
      <c r="I32" s="109"/>
      <c r="J32" s="122">
        <v>29</v>
      </c>
      <c r="K32" s="123">
        <f t="shared" si="4"/>
        <v>13.325607555933399</v>
      </c>
      <c r="L32" s="117">
        <f t="shared" si="3"/>
        <v>13.050223664420287</v>
      </c>
      <c r="M32" s="103"/>
      <c r="N32" s="124">
        <f t="shared" si="0"/>
        <v>0.82857142857142863</v>
      </c>
      <c r="O32" s="124">
        <f t="shared" si="1"/>
        <v>0.7848341736124238</v>
      </c>
      <c r="P32" s="117">
        <f t="shared" si="2"/>
        <v>2.1960427828538499E-2</v>
      </c>
    </row>
    <row r="33" spans="1:17" x14ac:dyDescent="0.25">
      <c r="A33" s="106" t="s">
        <v>56</v>
      </c>
      <c r="B33" s="107" t="s">
        <v>24</v>
      </c>
      <c r="C33" s="112">
        <v>0.71719686999999999</v>
      </c>
      <c r="D33" s="112">
        <v>0.43259091447014619</v>
      </c>
      <c r="E33" s="112">
        <v>0.33874576788167188</v>
      </c>
      <c r="F33" s="112">
        <v>0.64271577999999996</v>
      </c>
      <c r="G33" s="112">
        <v>0.88886240000000005</v>
      </c>
      <c r="H33" s="113">
        <v>0.59469594032360695</v>
      </c>
      <c r="I33" s="109"/>
      <c r="J33" s="122">
        <v>30</v>
      </c>
      <c r="K33" s="123">
        <f t="shared" si="4"/>
        <v>13.895239325200398</v>
      </c>
      <c r="L33" s="117">
        <f t="shared" si="3"/>
        <v>13.610423440566898</v>
      </c>
      <c r="M33" s="103"/>
      <c r="N33" s="124">
        <f t="shared" si="0"/>
        <v>0.8571428571428571</v>
      </c>
      <c r="O33" s="124">
        <f t="shared" si="1"/>
        <v>0.81838359918416714</v>
      </c>
      <c r="P33" s="117">
        <f t="shared" si="2"/>
        <v>2.290311103995122E-2</v>
      </c>
    </row>
    <row r="34" spans="1:17" x14ac:dyDescent="0.25">
      <c r="A34" s="106" t="s">
        <v>50</v>
      </c>
      <c r="B34" s="107" t="s">
        <v>18</v>
      </c>
      <c r="C34" s="112">
        <v>0.69403934</v>
      </c>
      <c r="D34" s="112">
        <v>0.23468653179393315</v>
      </c>
      <c r="E34" s="112">
        <v>0.36578880114193152</v>
      </c>
      <c r="F34" s="112">
        <v>0.71006698000000001</v>
      </c>
      <c r="G34" s="112">
        <v>0.8177388000000001</v>
      </c>
      <c r="H34" s="113">
        <v>0.59496552500922861</v>
      </c>
      <c r="I34" s="109"/>
      <c r="J34" s="122">
        <v>31</v>
      </c>
      <c r="K34" s="123">
        <f t="shared" si="4"/>
        <v>14.489935265524005</v>
      </c>
      <c r="L34" s="117">
        <f t="shared" si="3"/>
        <v>14.192587295362202</v>
      </c>
      <c r="M34" s="103"/>
      <c r="N34" s="124">
        <f t="shared" si="0"/>
        <v>0.88571428571428568</v>
      </c>
      <c r="O34" s="124">
        <f t="shared" si="1"/>
        <v>0.85340922146183362</v>
      </c>
      <c r="P34" s="117">
        <f t="shared" si="2"/>
        <v>2.3882754580657164E-2</v>
      </c>
    </row>
    <row r="35" spans="1:17" ht="30" x14ac:dyDescent="0.25">
      <c r="A35" s="106" t="s">
        <v>68</v>
      </c>
      <c r="B35" s="107" t="s">
        <v>37</v>
      </c>
      <c r="C35" s="112">
        <v>0.80846217000000009</v>
      </c>
      <c r="D35" s="112">
        <v>0.841294202207021</v>
      </c>
      <c r="E35" s="112">
        <v>0.30258397602403653</v>
      </c>
      <c r="F35" s="112">
        <v>0.52107358000000004</v>
      </c>
      <c r="G35" s="112">
        <v>0.93191320000000011</v>
      </c>
      <c r="H35" s="113">
        <v>0.59924780126523858</v>
      </c>
      <c r="I35" s="109"/>
      <c r="J35" s="122">
        <v>32</v>
      </c>
      <c r="K35" s="123">
        <f t="shared" si="4"/>
        <v>15.084900790533235</v>
      </c>
      <c r="L35" s="117">
        <f t="shared" si="3"/>
        <v>14.78741802802862</v>
      </c>
      <c r="M35" s="103"/>
      <c r="N35" s="124">
        <f t="shared" si="0"/>
        <v>0.91428571428571426</v>
      </c>
      <c r="O35" s="124">
        <f t="shared" si="1"/>
        <v>0.88845072138508363</v>
      </c>
      <c r="P35" s="117">
        <f t="shared" si="2"/>
        <v>2.4883713469241682E-2</v>
      </c>
    </row>
    <row r="36" spans="1:17" x14ac:dyDescent="0.25">
      <c r="A36" s="106" t="s">
        <v>15</v>
      </c>
      <c r="B36" s="107" t="s">
        <v>16</v>
      </c>
      <c r="C36" s="112">
        <v>0.77779562999999996</v>
      </c>
      <c r="D36" s="112">
        <v>0.58237254460535748</v>
      </c>
      <c r="E36" s="112">
        <v>0.17460559763262029</v>
      </c>
      <c r="F36" s="112">
        <v>0.88206160000000011</v>
      </c>
      <c r="G36" s="112">
        <v>0.90363199999999999</v>
      </c>
      <c r="H36" s="113">
        <v>0.64641076373250206</v>
      </c>
      <c r="I36" s="109"/>
      <c r="J36" s="122">
        <v>33</v>
      </c>
      <c r="K36" s="123">
        <f t="shared" si="4"/>
        <v>15.684148591798474</v>
      </c>
      <c r="L36" s="117">
        <f t="shared" si="3"/>
        <v>15.384524691165854</v>
      </c>
      <c r="M36" s="103"/>
      <c r="N36" s="124">
        <f t="shared" si="0"/>
        <v>0.94285714285714284</v>
      </c>
      <c r="O36" s="124">
        <f t="shared" si="1"/>
        <v>0.92374443320429855</v>
      </c>
      <c r="P36" s="117">
        <f t="shared" si="2"/>
        <v>2.5888502208419754E-2</v>
      </c>
    </row>
    <row r="37" spans="1:17" x14ac:dyDescent="0.25">
      <c r="A37" s="106" t="s">
        <v>66</v>
      </c>
      <c r="B37" s="107" t="s">
        <v>35</v>
      </c>
      <c r="C37" s="112">
        <v>0.82751446499999992</v>
      </c>
      <c r="D37" s="112">
        <v>0.83433416000000005</v>
      </c>
      <c r="E37" s="112">
        <v>0.4986556296843897</v>
      </c>
      <c r="F37" s="112">
        <v>0.53861495999999998</v>
      </c>
      <c r="G37" s="112">
        <v>0.82978040000000008</v>
      </c>
      <c r="H37" s="113">
        <v>0.64832357791530681</v>
      </c>
      <c r="I37" s="109"/>
      <c r="J37" s="122">
        <v>34</v>
      </c>
      <c r="K37" s="123">
        <f t="shared" si="4"/>
        <v>16.330559355530976</v>
      </c>
      <c r="L37" s="117">
        <f t="shared" si="3"/>
        <v>16.007353973664724</v>
      </c>
      <c r="M37" s="103"/>
      <c r="N37" s="124">
        <f t="shared" si="0"/>
        <v>0.97142857142857142</v>
      </c>
      <c r="O37" s="124">
        <f t="shared" si="1"/>
        <v>0.96181588739043666</v>
      </c>
      <c r="P37" s="117">
        <f t="shared" si="2"/>
        <v>2.6936576008496225E-2</v>
      </c>
    </row>
    <row r="38" spans="1:17" x14ac:dyDescent="0.25">
      <c r="J38" s="122">
        <v>35</v>
      </c>
      <c r="K38" s="123">
        <f t="shared" si="4"/>
        <v>16.978882933446283</v>
      </c>
      <c r="L38" s="117">
        <f t="shared" si="3"/>
        <v>16.654721144488629</v>
      </c>
      <c r="M38" s="103"/>
      <c r="N38" s="124">
        <f t="shared" si="0"/>
        <v>1</v>
      </c>
      <c r="O38" s="124">
        <f t="shared" si="1"/>
        <v>1</v>
      </c>
      <c r="P38" s="117">
        <f t="shared" si="2"/>
        <v>2.802594124843482E-2</v>
      </c>
    </row>
    <row r="39" spans="1:17" x14ac:dyDescent="0.25">
      <c r="L39" s="117">
        <f>SUM(L4:L38)</f>
        <v>268.33282330002407</v>
      </c>
      <c r="P39" s="117">
        <f>SUM(P4:P38)</f>
        <v>0.45154042962296742</v>
      </c>
    </row>
    <row r="41" spans="1:17" x14ac:dyDescent="0.25">
      <c r="K41" s="115" t="s">
        <v>162</v>
      </c>
      <c r="L41" s="115">
        <f>1-(L39/(J38*K38/2))</f>
        <v>9.691914075406538E-2</v>
      </c>
      <c r="O41" s="115" t="s">
        <v>162</v>
      </c>
      <c r="P41" s="115">
        <f>1-P39/0.5</f>
        <v>9.6919140754065158E-2</v>
      </c>
      <c r="Q41" s="126"/>
    </row>
    <row r="43" spans="1:17" x14ac:dyDescent="0.25">
      <c r="K43" t="s">
        <v>165</v>
      </c>
      <c r="L43">
        <f>(J38*K38/2)-L39</f>
        <v>28.797628035285868</v>
      </c>
    </row>
    <row r="44" spans="1:17" x14ac:dyDescent="0.25">
      <c r="L44">
        <f>L43/(J38*K38/2)</f>
        <v>9.6919140754065353E-2</v>
      </c>
    </row>
    <row r="46" spans="1:17" x14ac:dyDescent="0.25">
      <c r="L46">
        <f>L43/(J38*K38/2)</f>
        <v>9.6919140754065353E-2</v>
      </c>
    </row>
  </sheetData>
  <autoFilter ref="A2:H2" xr:uid="{9C6E2AFD-5DB2-4E78-BEC8-FAAC984501F1}">
    <filterColumn colId="0" showButton="0"/>
    <sortState xmlns:xlrd2="http://schemas.microsoft.com/office/spreadsheetml/2017/richdata2" ref="A3:H37">
      <sortCondition ref="H2"/>
    </sortState>
  </autoFilter>
  <mergeCells count="1">
    <mergeCell ref="A2:B2"/>
  </mergeCell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1B540-6ABD-43FA-B320-F7F6772507C6}">
  <dimension ref="A2:V46"/>
  <sheetViews>
    <sheetView workbookViewId="0">
      <selection activeCell="B9" sqref="B9"/>
    </sheetView>
  </sheetViews>
  <sheetFormatPr defaultRowHeight="15" x14ac:dyDescent="0.25"/>
  <cols>
    <col min="1" max="1" width="14.28515625" customWidth="1"/>
    <col min="2" max="2" width="16.7109375" customWidth="1"/>
    <col min="3" max="3" width="16.42578125" bestFit="1" customWidth="1"/>
    <col min="4" max="4" width="12.7109375" bestFit="1" customWidth="1"/>
    <col min="5" max="5" width="18" bestFit="1" customWidth="1"/>
    <col min="6" max="6" width="21.7109375" bestFit="1" customWidth="1"/>
    <col min="7" max="7" width="19.7109375" bestFit="1" customWidth="1"/>
    <col min="8" max="8" width="8.85546875" customWidth="1"/>
    <col min="9" max="10" width="8.85546875" style="108" customWidth="1"/>
    <col min="11" max="11" width="15.5703125" customWidth="1"/>
    <col min="12" max="12" width="17.140625" customWidth="1"/>
    <col min="13" max="14" width="15.5703125" customWidth="1"/>
    <col min="15" max="15" width="16.7109375" customWidth="1"/>
    <col min="16" max="17" width="17.85546875" customWidth="1"/>
    <col min="18" max="18" width="14.28515625" customWidth="1"/>
    <col min="19" max="19" width="19.28515625" customWidth="1"/>
    <col min="20" max="39" width="14.28515625" customWidth="1"/>
    <col min="40" max="40" width="10.7109375" bestFit="1" customWidth="1"/>
  </cols>
  <sheetData>
    <row r="2" spans="1:22" x14ac:dyDescent="0.25">
      <c r="A2" s="130" t="s">
        <v>158</v>
      </c>
      <c r="B2" s="130"/>
      <c r="C2" s="2" t="s">
        <v>1</v>
      </c>
      <c r="D2" s="2" t="s">
        <v>6</v>
      </c>
      <c r="E2" s="2" t="s">
        <v>149</v>
      </c>
      <c r="F2" s="2" t="s">
        <v>10</v>
      </c>
      <c r="G2" s="2" t="s">
        <v>150</v>
      </c>
      <c r="H2" s="111" t="s">
        <v>157</v>
      </c>
      <c r="J2" s="119"/>
      <c r="K2" s="120" t="s">
        <v>160</v>
      </c>
      <c r="L2" s="125" t="s">
        <v>163</v>
      </c>
      <c r="N2" s="119"/>
      <c r="O2" s="120" t="s">
        <v>170</v>
      </c>
      <c r="P2" s="125" t="s">
        <v>163</v>
      </c>
      <c r="Q2" s="126"/>
      <c r="R2" s="118"/>
      <c r="S2" s="118" t="s">
        <v>159</v>
      </c>
    </row>
    <row r="3" spans="1:22" x14ac:dyDescent="0.25">
      <c r="A3" s="106" t="s">
        <v>80</v>
      </c>
      <c r="B3" s="107" t="s">
        <v>47</v>
      </c>
      <c r="C3" s="112">
        <v>0.27657685500000001</v>
      </c>
      <c r="D3" s="112">
        <v>0.12385713243684683</v>
      </c>
      <c r="E3" s="112">
        <v>0.35827352991391431</v>
      </c>
      <c r="F3" s="112">
        <v>0.47493014</v>
      </c>
      <c r="G3" s="112">
        <v>0.48520489470688671</v>
      </c>
      <c r="H3" s="113">
        <v>0.37962500398158189</v>
      </c>
      <c r="I3" s="109"/>
      <c r="J3" s="119">
        <v>0</v>
      </c>
      <c r="K3" s="121">
        <v>0</v>
      </c>
      <c r="L3" s="117" t="s">
        <v>164</v>
      </c>
      <c r="N3" s="124">
        <f>J3/$J$38</f>
        <v>0</v>
      </c>
      <c r="O3" s="124">
        <f>K3/$K$38</f>
        <v>0</v>
      </c>
      <c r="P3" s="125" t="s">
        <v>164</v>
      </c>
      <c r="Q3" s="126"/>
      <c r="R3" s="118">
        <v>0</v>
      </c>
      <c r="S3" s="118">
        <v>0</v>
      </c>
    </row>
    <row r="4" spans="1:22" ht="30" x14ac:dyDescent="0.25">
      <c r="A4" s="106" t="s">
        <v>77</v>
      </c>
      <c r="B4" s="107" t="s">
        <v>45</v>
      </c>
      <c r="C4" s="112">
        <v>0.28688462999999997</v>
      </c>
      <c r="D4" s="112">
        <v>2.1049952668659951E-2</v>
      </c>
      <c r="E4" s="112">
        <v>0.28456926448536063</v>
      </c>
      <c r="F4" s="112">
        <v>0.43910988000000001</v>
      </c>
      <c r="G4" s="112">
        <v>0.77070440000000007</v>
      </c>
      <c r="H4" s="113">
        <v>0.38416217429624377</v>
      </c>
      <c r="I4" s="109"/>
      <c r="J4" s="122">
        <v>1</v>
      </c>
      <c r="K4" s="123">
        <f>C3</f>
        <v>0.27657685500000001</v>
      </c>
      <c r="L4" s="117">
        <f>(K4+K3)/2*(J4-J3)</f>
        <v>0.13828842750000001</v>
      </c>
      <c r="M4" s="103"/>
      <c r="N4" s="124">
        <f t="shared" ref="N4:N38" si="0">J4/$J$38</f>
        <v>2.8571428571428571E-2</v>
      </c>
      <c r="O4" s="124">
        <f t="shared" ref="O4:O38" si="1">K4/$K$38</f>
        <v>1.3493543992838145E-2</v>
      </c>
      <c r="P4" s="117">
        <f>(O4+O3)/2*(N4-N3)</f>
        <v>1.9276491418340207E-4</v>
      </c>
      <c r="R4" s="118">
        <v>35</v>
      </c>
      <c r="S4" s="127">
        <f>K38</f>
        <v>20.496976565000001</v>
      </c>
    </row>
    <row r="5" spans="1:22" x14ac:dyDescent="0.25">
      <c r="A5" s="106" t="s">
        <v>53</v>
      </c>
      <c r="B5" s="107" t="s">
        <v>21</v>
      </c>
      <c r="C5" s="112">
        <v>0.34382539000000001</v>
      </c>
      <c r="D5" s="112">
        <v>0.11864323886260744</v>
      </c>
      <c r="E5" s="112">
        <v>0.20296315028973874</v>
      </c>
      <c r="F5" s="112">
        <v>0.68231735999999998</v>
      </c>
      <c r="G5" s="112">
        <v>0.67217199999999999</v>
      </c>
      <c r="H5" s="113">
        <v>0.43982035309835932</v>
      </c>
      <c r="I5" s="109"/>
      <c r="J5" s="122">
        <v>2</v>
      </c>
      <c r="K5" s="123">
        <f>K4+C4</f>
        <v>0.56346148499999993</v>
      </c>
      <c r="L5" s="117">
        <f>(K5+K4)/2*(J5-J4)</f>
        <v>0.42001917</v>
      </c>
      <c r="M5" s="103"/>
      <c r="N5" s="124">
        <f t="shared" si="0"/>
        <v>5.7142857142857141E-2</v>
      </c>
      <c r="O5" s="124">
        <f t="shared" si="1"/>
        <v>2.7489980447269927E-2</v>
      </c>
      <c r="P5" s="117">
        <f t="shared" ref="P5:P38" si="2">(O5+O4)/2*(N5-N4)</f>
        <v>5.8547892057297241E-4</v>
      </c>
    </row>
    <row r="6" spans="1:22" x14ac:dyDescent="0.25">
      <c r="A6" s="106" t="s">
        <v>81</v>
      </c>
      <c r="B6" s="107" t="s">
        <v>48</v>
      </c>
      <c r="C6" s="112">
        <v>0.34889432500000006</v>
      </c>
      <c r="D6" s="112">
        <v>7.2632559999999999E-2</v>
      </c>
      <c r="E6" s="112">
        <v>0.33991763409987819</v>
      </c>
      <c r="F6" s="112">
        <v>0.28355032000000002</v>
      </c>
      <c r="G6" s="112">
        <v>0.40665452475811037</v>
      </c>
      <c r="H6" s="113">
        <v>0.31665819618426616</v>
      </c>
      <c r="I6" s="109"/>
      <c r="J6" s="122">
        <v>3</v>
      </c>
      <c r="K6" s="123">
        <f t="shared" ref="K6:K38" si="3">K5+C5</f>
        <v>0.90728687499999994</v>
      </c>
      <c r="L6" s="117">
        <f t="shared" ref="L6:L38" si="4">(K6+K5)/2*(J6-J5)</f>
        <v>0.73537417999999999</v>
      </c>
      <c r="M6" s="103"/>
      <c r="N6" s="124">
        <f t="shared" si="0"/>
        <v>8.5714285714285715E-2</v>
      </c>
      <c r="O6" s="124">
        <f t="shared" si="1"/>
        <v>4.426442466394067E-2</v>
      </c>
      <c r="P6" s="117">
        <f t="shared" si="2"/>
        <v>1.0250629301601514E-3</v>
      </c>
      <c r="V6" t="s">
        <v>161</v>
      </c>
    </row>
    <row r="7" spans="1:22" x14ac:dyDescent="0.25">
      <c r="A7" s="106" t="s">
        <v>75</v>
      </c>
      <c r="B7" s="107" t="s">
        <v>96</v>
      </c>
      <c r="C7" s="112">
        <v>0.36000341999999996</v>
      </c>
      <c r="D7" s="112">
        <v>0.2155323159086025</v>
      </c>
      <c r="E7" s="112">
        <v>0.38374293766269163</v>
      </c>
      <c r="F7" s="112">
        <v>0.40998915999999996</v>
      </c>
      <c r="G7" s="112">
        <v>0.6763344</v>
      </c>
      <c r="H7" s="113">
        <v>0.41744644389701502</v>
      </c>
      <c r="I7" s="109"/>
      <c r="J7" s="122">
        <v>4</v>
      </c>
      <c r="K7" s="123">
        <f t="shared" si="3"/>
        <v>1.2561811999999999</v>
      </c>
      <c r="L7" s="117">
        <f t="shared" si="4"/>
        <v>1.0817340375</v>
      </c>
      <c r="M7" s="103"/>
      <c r="N7" s="124">
        <f t="shared" si="0"/>
        <v>0.11428571428571428</v>
      </c>
      <c r="O7" s="124">
        <f t="shared" si="1"/>
        <v>6.1286170475747914E-2</v>
      </c>
      <c r="P7" s="117">
        <f t="shared" si="2"/>
        <v>1.507865644852694E-3</v>
      </c>
    </row>
    <row r="8" spans="1:22" x14ac:dyDescent="0.25">
      <c r="A8" s="106" t="s">
        <v>72</v>
      </c>
      <c r="B8" s="107" t="s">
        <v>41</v>
      </c>
      <c r="C8" s="112">
        <v>0.37886684500000001</v>
      </c>
      <c r="D8" s="112">
        <v>0.11582386566916616</v>
      </c>
      <c r="E8" s="112">
        <v>0.26832282215401948</v>
      </c>
      <c r="F8" s="112">
        <v>0.52677059999999998</v>
      </c>
      <c r="G8" s="112">
        <v>0.67188040000000004</v>
      </c>
      <c r="H8" s="113">
        <v>0.41766985201083279</v>
      </c>
      <c r="I8" s="109"/>
      <c r="J8" s="122">
        <v>5</v>
      </c>
      <c r="K8" s="123">
        <f t="shared" si="3"/>
        <v>1.6161846199999998</v>
      </c>
      <c r="L8" s="117">
        <f t="shared" si="4"/>
        <v>1.4361829099999999</v>
      </c>
      <c r="M8" s="103"/>
      <c r="N8" s="124">
        <f t="shared" si="0"/>
        <v>0.14285714285714285</v>
      </c>
      <c r="O8" s="124">
        <f t="shared" si="1"/>
        <v>7.8849903295481458E-2</v>
      </c>
      <c r="P8" s="117">
        <f t="shared" si="2"/>
        <v>2.0019439110175626E-3</v>
      </c>
      <c r="R8" s="118"/>
      <c r="S8" s="118" t="s">
        <v>159</v>
      </c>
    </row>
    <row r="9" spans="1:22" ht="39.75" customHeight="1" x14ac:dyDescent="0.25">
      <c r="A9" s="106" t="s">
        <v>78</v>
      </c>
      <c r="B9" s="31" t="s">
        <v>172</v>
      </c>
      <c r="C9" s="112">
        <v>0.40036253999999999</v>
      </c>
      <c r="D9" s="112">
        <v>5.0792000000000004E-2</v>
      </c>
      <c r="E9" s="112">
        <v>0.31248449048128879</v>
      </c>
      <c r="F9" s="112">
        <v>0.32356594</v>
      </c>
      <c r="G9" s="112">
        <v>0.54417560000000009</v>
      </c>
      <c r="H9" s="113">
        <v>0.35006655691473731</v>
      </c>
      <c r="I9" s="109"/>
      <c r="J9" s="122">
        <v>6</v>
      </c>
      <c r="K9" s="123">
        <f t="shared" si="3"/>
        <v>1.995051465</v>
      </c>
      <c r="L9" s="117">
        <f t="shared" si="4"/>
        <v>1.8056180424999999</v>
      </c>
      <c r="M9" s="103"/>
      <c r="N9" s="124">
        <f t="shared" si="0"/>
        <v>0.17142857142857143</v>
      </c>
      <c r="O9" s="124">
        <f t="shared" si="1"/>
        <v>9.7333938918908056E-2</v>
      </c>
      <c r="P9" s="117">
        <f t="shared" si="2"/>
        <v>2.5169120316341368E-3</v>
      </c>
      <c r="R9" s="118">
        <v>0</v>
      </c>
      <c r="S9" s="128">
        <v>0</v>
      </c>
    </row>
    <row r="10" spans="1:22" x14ac:dyDescent="0.25">
      <c r="A10" s="106" t="s">
        <v>71</v>
      </c>
      <c r="B10" s="107" t="s">
        <v>40</v>
      </c>
      <c r="C10" s="112">
        <v>0.44021503499999998</v>
      </c>
      <c r="D10" s="112">
        <v>0.13927330418277856</v>
      </c>
      <c r="E10" s="112">
        <v>0.4816753598058332</v>
      </c>
      <c r="F10" s="112">
        <v>0.46097591999999998</v>
      </c>
      <c r="G10" s="112">
        <v>0.5439676</v>
      </c>
      <c r="H10" s="113">
        <v>0.453265424255754</v>
      </c>
      <c r="I10" s="109"/>
      <c r="J10" s="122">
        <v>7</v>
      </c>
      <c r="K10" s="123">
        <f t="shared" si="3"/>
        <v>2.3954140050000001</v>
      </c>
      <c r="L10" s="117">
        <f t="shared" si="4"/>
        <v>2.1952327350000003</v>
      </c>
      <c r="M10" s="103"/>
      <c r="N10" s="124">
        <f t="shared" si="0"/>
        <v>0.2</v>
      </c>
      <c r="O10" s="124">
        <f t="shared" si="1"/>
        <v>0.11686669970098588</v>
      </c>
      <c r="P10" s="117">
        <f t="shared" si="2"/>
        <v>3.0600091231413429E-3</v>
      </c>
      <c r="R10" s="118">
        <v>1</v>
      </c>
      <c r="S10" s="129">
        <v>1</v>
      </c>
    </row>
    <row r="11" spans="1:22" x14ac:dyDescent="0.25">
      <c r="A11" s="106" t="s">
        <v>79</v>
      </c>
      <c r="B11" s="107" t="s">
        <v>46</v>
      </c>
      <c r="C11" s="112">
        <v>0.50227591999999999</v>
      </c>
      <c r="D11" s="112">
        <v>0.18049262889513421</v>
      </c>
      <c r="E11" s="112">
        <v>0.33916643712932065</v>
      </c>
      <c r="F11" s="112">
        <v>0.4611922</v>
      </c>
      <c r="G11" s="112">
        <v>0.61328959999999999</v>
      </c>
      <c r="H11" s="113">
        <v>0.43902739724554296</v>
      </c>
      <c r="I11" s="109"/>
      <c r="J11" s="122">
        <v>8</v>
      </c>
      <c r="K11" s="123">
        <f t="shared" si="3"/>
        <v>2.8356290400000002</v>
      </c>
      <c r="L11" s="117">
        <f t="shared" si="4"/>
        <v>2.6155215224999999</v>
      </c>
      <c r="M11" s="103"/>
      <c r="N11" s="124">
        <f t="shared" si="0"/>
        <v>0.22857142857142856</v>
      </c>
      <c r="O11" s="124">
        <f t="shared" si="1"/>
        <v>0.13834377138538725</v>
      </c>
      <c r="P11" s="117">
        <f t="shared" si="2"/>
        <v>3.645863872662471E-3</v>
      </c>
    </row>
    <row r="12" spans="1:22" x14ac:dyDescent="0.25">
      <c r="A12" s="106" t="s">
        <v>60</v>
      </c>
      <c r="B12" s="107" t="s">
        <v>29</v>
      </c>
      <c r="C12" s="112">
        <v>0.50703099500000004</v>
      </c>
      <c r="D12" s="112">
        <v>0.21263304569854968</v>
      </c>
      <c r="E12" s="112">
        <v>0.30589877707239488</v>
      </c>
      <c r="F12" s="112">
        <v>0.62406089999999992</v>
      </c>
      <c r="G12" s="112">
        <v>0.73775600000000008</v>
      </c>
      <c r="H12" s="113">
        <v>0.50022766757436443</v>
      </c>
      <c r="I12" s="109"/>
      <c r="J12" s="122">
        <v>9</v>
      </c>
      <c r="K12" s="123">
        <f t="shared" si="3"/>
        <v>3.3379049600000004</v>
      </c>
      <c r="L12" s="117">
        <f t="shared" si="4"/>
        <v>3.086767</v>
      </c>
      <c r="M12" s="103"/>
      <c r="N12" s="124">
        <f t="shared" si="0"/>
        <v>0.25714285714285712</v>
      </c>
      <c r="O12" s="124">
        <f t="shared" si="1"/>
        <v>0.16284864986866907</v>
      </c>
      <c r="P12" s="117">
        <f t="shared" si="2"/>
        <v>4.3027488750579448E-3</v>
      </c>
    </row>
    <row r="13" spans="1:22" x14ac:dyDescent="0.25">
      <c r="A13" s="106" t="s">
        <v>76</v>
      </c>
      <c r="B13" s="107" t="s">
        <v>44</v>
      </c>
      <c r="C13" s="112">
        <v>0.522958645</v>
      </c>
      <c r="D13" s="112">
        <v>0.22210951998596482</v>
      </c>
      <c r="E13" s="112">
        <v>0.3262218992927256</v>
      </c>
      <c r="F13" s="112">
        <v>0.51269586</v>
      </c>
      <c r="G13" s="112">
        <v>0.6952252000000001</v>
      </c>
      <c r="H13" s="113">
        <v>0.46980301761587107</v>
      </c>
      <c r="I13" s="109"/>
      <c r="J13" s="122">
        <v>10</v>
      </c>
      <c r="K13" s="123">
        <f t="shared" si="3"/>
        <v>3.8449359550000004</v>
      </c>
      <c r="L13" s="117">
        <f t="shared" si="4"/>
        <v>3.5914204575000004</v>
      </c>
      <c r="M13" s="103"/>
      <c r="N13" s="124">
        <f t="shared" si="0"/>
        <v>0.2857142857142857</v>
      </c>
      <c r="O13" s="124">
        <f t="shared" si="1"/>
        <v>0.18758551744482616</v>
      </c>
      <c r="P13" s="117">
        <f t="shared" si="2"/>
        <v>5.0062023901927899E-3</v>
      </c>
    </row>
    <row r="14" spans="1:22" x14ac:dyDescent="0.25">
      <c r="A14" s="106" t="s">
        <v>70</v>
      </c>
      <c r="B14" s="107" t="s">
        <v>39</v>
      </c>
      <c r="C14" s="112">
        <v>0.54556700999999996</v>
      </c>
      <c r="D14" s="112">
        <v>0.46555953350458179</v>
      </c>
      <c r="E14" s="112">
        <v>0.11883096141868546</v>
      </c>
      <c r="F14" s="112">
        <v>0.31805712000000003</v>
      </c>
      <c r="G14" s="112">
        <v>0.55180840000000009</v>
      </c>
      <c r="H14" s="113">
        <v>0.35269908955154206</v>
      </c>
      <c r="I14" s="109"/>
      <c r="J14" s="122">
        <v>11</v>
      </c>
      <c r="K14" s="123">
        <f t="shared" si="3"/>
        <v>4.3678946000000005</v>
      </c>
      <c r="L14" s="117">
        <f t="shared" si="4"/>
        <v>4.1064152775</v>
      </c>
      <c r="M14" s="103"/>
      <c r="N14" s="124">
        <f t="shared" si="0"/>
        <v>0.31428571428571428</v>
      </c>
      <c r="O14" s="124">
        <f t="shared" si="1"/>
        <v>0.21309945816391679</v>
      </c>
      <c r="P14" s="117">
        <f t="shared" si="2"/>
        <v>5.7240710801249014E-3</v>
      </c>
    </row>
    <row r="15" spans="1:22" x14ac:dyDescent="0.25">
      <c r="A15" s="106" t="s">
        <v>64</v>
      </c>
      <c r="B15" s="107" t="s">
        <v>33</v>
      </c>
      <c r="C15" s="112">
        <v>0.55357906000000001</v>
      </c>
      <c r="D15" s="112">
        <v>0.35095400120610676</v>
      </c>
      <c r="E15" s="112">
        <v>0.16837770213691144</v>
      </c>
      <c r="F15" s="112">
        <v>0.46570116000000006</v>
      </c>
      <c r="G15" s="112">
        <v>0.69888680000000003</v>
      </c>
      <c r="H15" s="113">
        <v>0.4266998851134447</v>
      </c>
      <c r="I15" s="109"/>
      <c r="J15" s="122">
        <v>12</v>
      </c>
      <c r="K15" s="123">
        <f t="shared" si="3"/>
        <v>4.9134616100000006</v>
      </c>
      <c r="L15" s="117">
        <f t="shared" si="4"/>
        <v>4.640678105000001</v>
      </c>
      <c r="M15" s="103"/>
      <c r="N15" s="124">
        <f t="shared" si="0"/>
        <v>0.34285714285714286</v>
      </c>
      <c r="O15" s="124">
        <f t="shared" si="1"/>
        <v>0.23971640863316762</v>
      </c>
      <c r="P15" s="117">
        <f t="shared" si="2"/>
        <v>6.4687980971012077E-3</v>
      </c>
    </row>
    <row r="16" spans="1:22" x14ac:dyDescent="0.25">
      <c r="A16" s="106" t="s">
        <v>69</v>
      </c>
      <c r="B16" s="107" t="s">
        <v>38</v>
      </c>
      <c r="C16" s="112">
        <v>0.56374321500000002</v>
      </c>
      <c r="D16" s="112">
        <v>0.26198498977661355</v>
      </c>
      <c r="E16" s="112">
        <v>0.50492180007202925</v>
      </c>
      <c r="F16" s="112">
        <v>0.393015</v>
      </c>
      <c r="G16" s="112">
        <v>0.87976279999999996</v>
      </c>
      <c r="H16" s="113">
        <v>0.52049124365134891</v>
      </c>
      <c r="I16" s="109"/>
      <c r="J16" s="122">
        <v>13</v>
      </c>
      <c r="K16" s="123">
        <f t="shared" si="3"/>
        <v>5.4670406700000003</v>
      </c>
      <c r="L16" s="117">
        <f t="shared" si="4"/>
        <v>5.1902511400000009</v>
      </c>
      <c r="M16" s="103"/>
      <c r="N16" s="124">
        <f t="shared" si="0"/>
        <v>0.37142857142857144</v>
      </c>
      <c r="O16" s="124">
        <f t="shared" si="1"/>
        <v>0.26672424845990939</v>
      </c>
      <c r="P16" s="117">
        <f t="shared" si="2"/>
        <v>7.2348665299011034E-3</v>
      </c>
    </row>
    <row r="17" spans="1:16" x14ac:dyDescent="0.25">
      <c r="A17" s="106" t="s">
        <v>61</v>
      </c>
      <c r="B17" s="107" t="s">
        <v>30</v>
      </c>
      <c r="C17" s="112">
        <v>0.58336840500000009</v>
      </c>
      <c r="D17" s="112">
        <v>0.42715464661997848</v>
      </c>
      <c r="E17" s="112">
        <v>0.33803070717100608</v>
      </c>
      <c r="F17" s="112">
        <v>0.55129633999999994</v>
      </c>
      <c r="G17" s="112">
        <v>0.76143040000000006</v>
      </c>
      <c r="H17" s="113">
        <v>0.52023995993832906</v>
      </c>
      <c r="I17" s="109"/>
      <c r="J17" s="122">
        <v>14</v>
      </c>
      <c r="K17" s="123">
        <f t="shared" si="3"/>
        <v>6.030783885</v>
      </c>
      <c r="L17" s="117">
        <f t="shared" si="4"/>
        <v>5.7489122775000006</v>
      </c>
      <c r="M17" s="103"/>
      <c r="N17" s="124">
        <f t="shared" si="0"/>
        <v>0.4</v>
      </c>
      <c r="O17" s="124">
        <f t="shared" si="1"/>
        <v>0.2942279738611781</v>
      </c>
      <c r="P17" s="117">
        <f t="shared" si="2"/>
        <v>8.0136031760155383E-3</v>
      </c>
    </row>
    <row r="18" spans="1:16" x14ac:dyDescent="0.25">
      <c r="A18" s="106" t="s">
        <v>55</v>
      </c>
      <c r="B18" s="107" t="s">
        <v>23</v>
      </c>
      <c r="C18" s="112">
        <v>0.62265356000000005</v>
      </c>
      <c r="D18" s="112">
        <v>0.59150555506206037</v>
      </c>
      <c r="E18" s="112">
        <v>0.43180370663506984</v>
      </c>
      <c r="F18" s="112">
        <v>0.46840176</v>
      </c>
      <c r="G18" s="112">
        <v>0.83708879999999997</v>
      </c>
      <c r="H18" s="113">
        <v>0.55076778302622453</v>
      </c>
      <c r="I18" s="109"/>
      <c r="J18" s="122">
        <v>15</v>
      </c>
      <c r="K18" s="123">
        <f t="shared" si="3"/>
        <v>6.6141522899999998</v>
      </c>
      <c r="L18" s="117">
        <f t="shared" si="4"/>
        <v>6.3224680874999999</v>
      </c>
      <c r="M18" s="103"/>
      <c r="N18" s="124">
        <f t="shared" si="0"/>
        <v>0.42857142857142855</v>
      </c>
      <c r="O18" s="124">
        <f t="shared" si="1"/>
        <v>0.32268916681566201</v>
      </c>
      <c r="P18" s="117">
        <f t="shared" si="2"/>
        <v>8.8131020096691298E-3</v>
      </c>
    </row>
    <row r="19" spans="1:16" x14ac:dyDescent="0.25">
      <c r="A19" s="106" t="s">
        <v>52</v>
      </c>
      <c r="B19" s="107" t="s">
        <v>20</v>
      </c>
      <c r="C19" s="112">
        <v>0.635318885</v>
      </c>
      <c r="D19" s="112">
        <v>0.16322107429024188</v>
      </c>
      <c r="E19" s="112">
        <v>0.20309946946781812</v>
      </c>
      <c r="F19" s="112">
        <v>0.54975350000000001</v>
      </c>
      <c r="G19" s="112">
        <v>0.67059120000000005</v>
      </c>
      <c r="H19" s="113">
        <v>0.4628180819432095</v>
      </c>
      <c r="I19" s="109"/>
      <c r="J19" s="122">
        <v>16</v>
      </c>
      <c r="K19" s="123">
        <f t="shared" si="3"/>
        <v>7.2368058499999997</v>
      </c>
      <c r="L19" s="117">
        <f t="shared" si="4"/>
        <v>6.9254790699999997</v>
      </c>
      <c r="M19" s="103"/>
      <c r="N19" s="124">
        <f t="shared" si="0"/>
        <v>0.45714285714285713</v>
      </c>
      <c r="O19" s="124">
        <f t="shared" si="1"/>
        <v>0.35306699146826093</v>
      </c>
      <c r="P19" s="117">
        <f t="shared" si="2"/>
        <v>9.653659404056044E-3</v>
      </c>
    </row>
    <row r="20" spans="1:16" x14ac:dyDescent="0.25">
      <c r="A20" s="106" t="s">
        <v>74</v>
      </c>
      <c r="B20" s="107" t="s">
        <v>43</v>
      </c>
      <c r="C20" s="112">
        <v>0.63674856000000002</v>
      </c>
      <c r="D20" s="112">
        <v>0.2788653323180233</v>
      </c>
      <c r="E20" s="112">
        <v>0.35858799764312016</v>
      </c>
      <c r="F20" s="112">
        <v>0.40412833999999997</v>
      </c>
      <c r="G20" s="112">
        <v>0.49664640000000004</v>
      </c>
      <c r="H20" s="113">
        <v>0.44487794887079002</v>
      </c>
      <c r="I20" s="109"/>
      <c r="J20" s="122">
        <v>17</v>
      </c>
      <c r="K20" s="123">
        <f t="shared" si="3"/>
        <v>7.8721247349999999</v>
      </c>
      <c r="L20" s="117">
        <f t="shared" si="4"/>
        <v>7.5544652924999998</v>
      </c>
      <c r="M20" s="103"/>
      <c r="N20" s="124">
        <f t="shared" si="0"/>
        <v>0.48571428571428571</v>
      </c>
      <c r="O20" s="124">
        <f t="shared" si="1"/>
        <v>0.38406272798507246</v>
      </c>
      <c r="P20" s="117">
        <f t="shared" si="2"/>
        <v>1.0530424563619053E-2</v>
      </c>
    </row>
    <row r="21" spans="1:16" x14ac:dyDescent="0.25">
      <c r="A21" s="106" t="s">
        <v>49</v>
      </c>
      <c r="B21" s="107" t="s">
        <v>17</v>
      </c>
      <c r="C21" s="112">
        <v>0.64280691999999995</v>
      </c>
      <c r="D21" s="112">
        <v>0.32379486089219434</v>
      </c>
      <c r="E21" s="112">
        <v>0.20976968814918651</v>
      </c>
      <c r="F21" s="112">
        <v>0.66007415999999997</v>
      </c>
      <c r="G21" s="112">
        <v>0.8010948</v>
      </c>
      <c r="H21" s="113">
        <v>0.52892572915593628</v>
      </c>
      <c r="I21" s="109"/>
      <c r="J21" s="122">
        <v>18</v>
      </c>
      <c r="K21" s="123">
        <f t="shared" si="3"/>
        <v>8.5088732950000008</v>
      </c>
      <c r="L21" s="117">
        <f t="shared" si="4"/>
        <v>8.1904990150000003</v>
      </c>
      <c r="M21" s="103"/>
      <c r="N21" s="124">
        <f t="shared" si="0"/>
        <v>0.51428571428571423</v>
      </c>
      <c r="O21" s="124">
        <f t="shared" si="1"/>
        <v>0.41512821503291797</v>
      </c>
      <c r="P21" s="117">
        <f t="shared" si="2"/>
        <v>1.1417013471685559E-2</v>
      </c>
    </row>
    <row r="22" spans="1:16" x14ac:dyDescent="0.25">
      <c r="A22" s="106" t="s">
        <v>51</v>
      </c>
      <c r="B22" s="107" t="s">
        <v>19</v>
      </c>
      <c r="C22" s="112">
        <v>0.646326505</v>
      </c>
      <c r="D22" s="112">
        <v>0.11212766940128666</v>
      </c>
      <c r="E22" s="112">
        <v>0.20350297279392529</v>
      </c>
      <c r="F22" s="112">
        <v>0.60577861999999993</v>
      </c>
      <c r="G22" s="112">
        <v>0.75237920000000014</v>
      </c>
      <c r="H22" s="113">
        <v>0.49062137319382826</v>
      </c>
      <c r="I22" s="109"/>
      <c r="J22" s="122">
        <v>19</v>
      </c>
      <c r="K22" s="123">
        <f t="shared" si="3"/>
        <v>9.1516802150000007</v>
      </c>
      <c r="L22" s="117">
        <f t="shared" si="4"/>
        <v>8.8302767549999999</v>
      </c>
      <c r="M22" s="103"/>
      <c r="N22" s="124">
        <f t="shared" si="0"/>
        <v>0.54285714285714282</v>
      </c>
      <c r="O22" s="124">
        <f t="shared" si="1"/>
        <v>0.44648927542938821</v>
      </c>
      <c r="P22" s="117">
        <f t="shared" si="2"/>
        <v>1.2308821292318663E-2</v>
      </c>
    </row>
    <row r="23" spans="1:16" ht="17.25" customHeight="1" x14ac:dyDescent="0.25">
      <c r="A23" s="106" t="s">
        <v>57</v>
      </c>
      <c r="B23" s="107" t="s">
        <v>25</v>
      </c>
      <c r="C23" s="112">
        <v>0.64761148499999999</v>
      </c>
      <c r="D23" s="112">
        <v>0.56523878880686684</v>
      </c>
      <c r="E23" s="112">
        <v>0.36124299881999994</v>
      </c>
      <c r="F23" s="112">
        <v>0.45037382000000004</v>
      </c>
      <c r="G23" s="112">
        <v>0.79489960000000004</v>
      </c>
      <c r="H23" s="113">
        <v>0.52306134183949382</v>
      </c>
      <c r="I23" s="109"/>
      <c r="J23" s="122">
        <v>20</v>
      </c>
      <c r="K23" s="123">
        <f t="shared" si="3"/>
        <v>9.7980067200000001</v>
      </c>
      <c r="L23" s="117">
        <f t="shared" si="4"/>
        <v>9.4748434675000013</v>
      </c>
      <c r="M23" s="103"/>
      <c r="N23" s="124">
        <f t="shared" si="0"/>
        <v>0.5714285714285714</v>
      </c>
      <c r="O23" s="124">
        <f t="shared" si="1"/>
        <v>0.47802204822396938</v>
      </c>
      <c r="P23" s="117">
        <f t="shared" si="2"/>
        <v>1.3207304623619397E-2</v>
      </c>
    </row>
    <row r="24" spans="1:16" x14ac:dyDescent="0.25">
      <c r="A24" s="106" t="s">
        <v>65</v>
      </c>
      <c r="B24" s="107" t="s">
        <v>34</v>
      </c>
      <c r="C24" s="112">
        <v>0.6593966</v>
      </c>
      <c r="D24" s="112">
        <v>0.40651641000637417</v>
      </c>
      <c r="E24" s="112">
        <v>0.33518155871341482</v>
      </c>
      <c r="F24" s="112">
        <v>0.46033992000000001</v>
      </c>
      <c r="G24" s="112">
        <v>0.79421520000000001</v>
      </c>
      <c r="H24" s="113">
        <v>0.51084441544170367</v>
      </c>
      <c r="I24" s="109"/>
      <c r="J24" s="122">
        <v>21</v>
      </c>
      <c r="K24" s="123">
        <f t="shared" si="3"/>
        <v>10.445618205000001</v>
      </c>
      <c r="L24" s="117">
        <f t="shared" si="4"/>
        <v>10.121812462499999</v>
      </c>
      <c r="M24" s="103"/>
      <c r="N24" s="124">
        <f t="shared" si="0"/>
        <v>0.6</v>
      </c>
      <c r="O24" s="124">
        <f t="shared" si="1"/>
        <v>0.50961751221575835</v>
      </c>
      <c r="P24" s="117">
        <f t="shared" si="2"/>
        <v>1.41091365777104E-2</v>
      </c>
    </row>
    <row r="25" spans="1:16" x14ac:dyDescent="0.25">
      <c r="A25" s="106" t="s">
        <v>59</v>
      </c>
      <c r="B25" s="107" t="s">
        <v>27</v>
      </c>
      <c r="C25" s="112">
        <v>0.66246691000000002</v>
      </c>
      <c r="D25" s="112">
        <v>0.31718616189744087</v>
      </c>
      <c r="E25" s="112">
        <v>0.36551260596193563</v>
      </c>
      <c r="F25" s="112">
        <v>0.51571212</v>
      </c>
      <c r="G25" s="112">
        <v>0.79456000000000016</v>
      </c>
      <c r="H25" s="113">
        <v>0.53107689983453266</v>
      </c>
      <c r="I25" s="109"/>
      <c r="J25" s="122">
        <v>22</v>
      </c>
      <c r="K25" s="123">
        <f t="shared" si="3"/>
        <v>11.105014805</v>
      </c>
      <c r="L25" s="117">
        <f t="shared" si="4"/>
        <v>10.775316504999999</v>
      </c>
      <c r="M25" s="103"/>
      <c r="N25" s="124">
        <f t="shared" si="0"/>
        <v>0.62857142857142856</v>
      </c>
      <c r="O25" s="124">
        <f t="shared" si="1"/>
        <v>0.5417879446650965</v>
      </c>
      <c r="P25" s="117">
        <f t="shared" si="2"/>
        <v>1.5020077955440789E-2</v>
      </c>
    </row>
    <row r="26" spans="1:16" x14ac:dyDescent="0.25">
      <c r="A26" s="106" t="s">
        <v>171</v>
      </c>
      <c r="B26" s="107" t="s">
        <v>28</v>
      </c>
      <c r="C26" s="112">
        <v>0.66450627000000007</v>
      </c>
      <c r="D26" s="112">
        <v>0.38792094466935201</v>
      </c>
      <c r="E26" s="112">
        <v>0.36472279992584322</v>
      </c>
      <c r="F26" s="112">
        <v>0.47654293999999997</v>
      </c>
      <c r="G26" s="112">
        <v>0.63217120000000004</v>
      </c>
      <c r="H26" s="113">
        <v>0.50084835873235634</v>
      </c>
      <c r="I26" s="109"/>
      <c r="J26" s="122">
        <v>23</v>
      </c>
      <c r="K26" s="123">
        <f t="shared" si="3"/>
        <v>11.767481714999999</v>
      </c>
      <c r="L26" s="117">
        <f t="shared" si="4"/>
        <v>11.436248259999999</v>
      </c>
      <c r="M26" s="103"/>
      <c r="N26" s="124">
        <f t="shared" si="0"/>
        <v>0.65714285714285714</v>
      </c>
      <c r="O26" s="124">
        <f t="shared" si="1"/>
        <v>0.57410817042615858</v>
      </c>
      <c r="P26" s="117">
        <f t="shared" si="2"/>
        <v>1.5941373072732218E-2</v>
      </c>
    </row>
    <row r="27" spans="1:16" x14ac:dyDescent="0.25">
      <c r="A27" s="106" t="s">
        <v>73</v>
      </c>
      <c r="B27" s="107" t="s">
        <v>42</v>
      </c>
      <c r="C27" s="112">
        <v>0.67786735499999995</v>
      </c>
      <c r="D27" s="112">
        <v>0.32567025708735281</v>
      </c>
      <c r="E27" s="112">
        <v>0.11852621501729108</v>
      </c>
      <c r="F27" s="112">
        <v>0.26207216</v>
      </c>
      <c r="G27" s="112">
        <v>0.65295520000000007</v>
      </c>
      <c r="H27" s="113">
        <v>0.36836050530003817</v>
      </c>
      <c r="I27" s="109"/>
      <c r="J27" s="122">
        <v>24</v>
      </c>
      <c r="K27" s="123">
        <f t="shared" si="3"/>
        <v>12.431987984999999</v>
      </c>
      <c r="L27" s="117">
        <f t="shared" si="4"/>
        <v>12.099734849999999</v>
      </c>
      <c r="M27" s="103"/>
      <c r="N27" s="124">
        <f t="shared" si="0"/>
        <v>0.68571428571428572</v>
      </c>
      <c r="O27" s="124">
        <f t="shared" si="1"/>
        <v>0.60652789183691003</v>
      </c>
      <c r="P27" s="117">
        <f t="shared" si="2"/>
        <v>1.6866229460900987E-2</v>
      </c>
    </row>
    <row r="28" spans="1:16" x14ac:dyDescent="0.25">
      <c r="A28" s="106" t="s">
        <v>62</v>
      </c>
      <c r="B28" s="107" t="s">
        <v>31</v>
      </c>
      <c r="C28" s="112">
        <v>0.69076873500000002</v>
      </c>
      <c r="D28" s="112">
        <v>0.49108710798430022</v>
      </c>
      <c r="E28" s="112">
        <v>0.12990184040924591</v>
      </c>
      <c r="F28" s="112">
        <v>0.38091464000000003</v>
      </c>
      <c r="G28" s="112">
        <v>0.70731440000000012</v>
      </c>
      <c r="H28" s="113">
        <v>0.42899950250308572</v>
      </c>
      <c r="I28" s="109"/>
      <c r="J28" s="122">
        <v>25</v>
      </c>
      <c r="K28" s="123">
        <f t="shared" si="3"/>
        <v>13.109855339999999</v>
      </c>
      <c r="L28" s="117">
        <f t="shared" si="4"/>
        <v>12.770921662499999</v>
      </c>
      <c r="M28" s="103"/>
      <c r="N28" s="124">
        <f t="shared" si="0"/>
        <v>0.7142857142857143</v>
      </c>
      <c r="O28" s="124">
        <f t="shared" si="1"/>
        <v>0.63959946963036396</v>
      </c>
      <c r="P28" s="117">
        <f t="shared" si="2"/>
        <v>1.7801819449532491E-2</v>
      </c>
    </row>
    <row r="29" spans="1:16" x14ac:dyDescent="0.25">
      <c r="A29" s="106" t="s">
        <v>63</v>
      </c>
      <c r="B29" s="107" t="s">
        <v>32</v>
      </c>
      <c r="C29" s="112">
        <v>0.69083377000000001</v>
      </c>
      <c r="D29" s="112">
        <v>0.25034693414936143</v>
      </c>
      <c r="E29" s="112">
        <v>0.29839336584164322</v>
      </c>
      <c r="F29" s="112">
        <v>0.52199967999999997</v>
      </c>
      <c r="G29" s="112">
        <v>0.84225240000000001</v>
      </c>
      <c r="H29" s="113">
        <v>0.5225975953944918</v>
      </c>
      <c r="I29" s="109"/>
      <c r="J29" s="122">
        <v>26</v>
      </c>
      <c r="K29" s="123">
        <f t="shared" si="3"/>
        <v>13.800624075</v>
      </c>
      <c r="L29" s="117">
        <f t="shared" si="4"/>
        <v>13.455239707499999</v>
      </c>
      <c r="M29" s="103"/>
      <c r="N29" s="124">
        <f t="shared" si="0"/>
        <v>0.74285714285714288</v>
      </c>
      <c r="O29" s="124">
        <f t="shared" si="1"/>
        <v>0.67330047586459729</v>
      </c>
      <c r="P29" s="117">
        <f t="shared" si="2"/>
        <v>1.8755713507070882E-2</v>
      </c>
    </row>
    <row r="30" spans="1:16" x14ac:dyDescent="0.25">
      <c r="A30" s="106" t="s">
        <v>50</v>
      </c>
      <c r="B30" s="107" t="s">
        <v>18</v>
      </c>
      <c r="C30" s="112">
        <v>0.69403934</v>
      </c>
      <c r="D30" s="112">
        <v>0.23468653179393315</v>
      </c>
      <c r="E30" s="112">
        <v>0.36578880114193152</v>
      </c>
      <c r="F30" s="112">
        <v>0.71006698000000001</v>
      </c>
      <c r="G30" s="112">
        <v>0.8177388000000001</v>
      </c>
      <c r="H30" s="113">
        <v>0.59496552500922861</v>
      </c>
      <c r="I30" s="109"/>
      <c r="J30" s="122">
        <v>27</v>
      </c>
      <c r="K30" s="123">
        <f t="shared" si="3"/>
        <v>14.491457844999999</v>
      </c>
      <c r="L30" s="117">
        <f t="shared" si="4"/>
        <v>14.146040960000001</v>
      </c>
      <c r="M30" s="103"/>
      <c r="N30" s="124">
        <f t="shared" si="0"/>
        <v>0.77142857142857146</v>
      </c>
      <c r="O30" s="124">
        <f t="shared" si="1"/>
        <v>0.70700465500581011</v>
      </c>
      <c r="P30" s="117">
        <f t="shared" si="2"/>
        <v>1.9718644726720112E-2</v>
      </c>
    </row>
    <row r="31" spans="1:16" ht="30" x14ac:dyDescent="0.25">
      <c r="A31" s="106" t="s">
        <v>58</v>
      </c>
      <c r="B31" s="107" t="s">
        <v>26</v>
      </c>
      <c r="C31" s="112">
        <v>0.70440694500000012</v>
      </c>
      <c r="D31" s="112">
        <v>0.36417864</v>
      </c>
      <c r="E31" s="112">
        <v>0.38466852000000001</v>
      </c>
      <c r="F31" s="112">
        <v>0.52614430000000001</v>
      </c>
      <c r="G31" s="112">
        <v>0.92273360000000004</v>
      </c>
      <c r="H31" s="113">
        <v>0.5696317692670001</v>
      </c>
      <c r="I31" s="109"/>
      <c r="J31" s="122">
        <v>28</v>
      </c>
      <c r="K31" s="123">
        <f t="shared" si="3"/>
        <v>15.185497184999999</v>
      </c>
      <c r="L31" s="117">
        <f t="shared" si="4"/>
        <v>14.838477514999999</v>
      </c>
      <c r="M31" s="103"/>
      <c r="N31" s="124">
        <f t="shared" si="0"/>
        <v>0.8</v>
      </c>
      <c r="O31" s="124">
        <f t="shared" si="1"/>
        <v>0.74086522648078168</v>
      </c>
      <c r="P31" s="117">
        <f t="shared" si="2"/>
        <v>2.0683855449808462E-2</v>
      </c>
    </row>
    <row r="32" spans="1:16" x14ac:dyDescent="0.25">
      <c r="A32" s="106" t="s">
        <v>56</v>
      </c>
      <c r="B32" s="107" t="s">
        <v>24</v>
      </c>
      <c r="C32" s="112">
        <v>0.71719686999999999</v>
      </c>
      <c r="D32" s="112">
        <v>0.43259091447014619</v>
      </c>
      <c r="E32" s="112">
        <v>0.33874576788167188</v>
      </c>
      <c r="F32" s="112">
        <v>0.64271577999999996</v>
      </c>
      <c r="G32" s="112">
        <v>0.88886240000000005</v>
      </c>
      <c r="H32" s="113">
        <v>0.59469594032360695</v>
      </c>
      <c r="I32" s="109"/>
      <c r="J32" s="122">
        <v>29</v>
      </c>
      <c r="K32" s="123">
        <f t="shared" si="3"/>
        <v>15.88990413</v>
      </c>
      <c r="L32" s="117">
        <f t="shared" si="4"/>
        <v>15.5377006575</v>
      </c>
      <c r="M32" s="103"/>
      <c r="N32" s="124">
        <f t="shared" si="0"/>
        <v>0.82857142857142863</v>
      </c>
      <c r="O32" s="124">
        <f t="shared" si="1"/>
        <v>0.77523160938443503</v>
      </c>
      <c r="P32" s="117">
        <f t="shared" si="2"/>
        <v>2.165852622664596E-2</v>
      </c>
    </row>
    <row r="33" spans="1:17" x14ac:dyDescent="0.25">
      <c r="A33" s="106" t="s">
        <v>54</v>
      </c>
      <c r="B33" s="107" t="s">
        <v>22</v>
      </c>
      <c r="C33" s="112">
        <v>0.71726882500000011</v>
      </c>
      <c r="D33" s="112">
        <v>0.39685516974894702</v>
      </c>
      <c r="E33" s="112">
        <v>0.27364417443448935</v>
      </c>
      <c r="F33" s="112">
        <v>0.52456413999999996</v>
      </c>
      <c r="G33" s="112">
        <v>0.83696920000000008</v>
      </c>
      <c r="H33" s="113">
        <v>0.53077554230719604</v>
      </c>
      <c r="I33" s="109"/>
      <c r="J33" s="122">
        <v>30</v>
      </c>
      <c r="K33" s="123">
        <f t="shared" si="3"/>
        <v>16.607101</v>
      </c>
      <c r="L33" s="117">
        <f t="shared" si="4"/>
        <v>16.248502564999999</v>
      </c>
      <c r="M33" s="103"/>
      <c r="N33" s="124">
        <f t="shared" si="0"/>
        <v>0.8571428571428571</v>
      </c>
      <c r="O33" s="124">
        <f t="shared" si="1"/>
        <v>0.81022198309763249</v>
      </c>
      <c r="P33" s="117">
        <f t="shared" si="2"/>
        <v>2.2649337035458027E-2</v>
      </c>
    </row>
    <row r="34" spans="1:17" x14ac:dyDescent="0.25">
      <c r="A34" s="106" t="s">
        <v>67</v>
      </c>
      <c r="B34" s="107" t="s">
        <v>36</v>
      </c>
      <c r="C34" s="112">
        <v>0.75883447500000001</v>
      </c>
      <c r="D34" s="112">
        <v>0.5007369710748546</v>
      </c>
      <c r="E34" s="112">
        <v>0.42085535686958664</v>
      </c>
      <c r="F34" s="112">
        <v>0.39645452000000003</v>
      </c>
      <c r="G34" s="112">
        <v>0.80132440000000005</v>
      </c>
      <c r="H34" s="113">
        <v>0.54313021306127651</v>
      </c>
      <c r="I34" s="109"/>
      <c r="J34" s="122">
        <v>31</v>
      </c>
      <c r="K34" s="123">
        <f t="shared" si="3"/>
        <v>17.324369825000002</v>
      </c>
      <c r="L34" s="117">
        <f t="shared" si="4"/>
        <v>16.965735412500003</v>
      </c>
      <c r="M34" s="103"/>
      <c r="N34" s="124">
        <f t="shared" si="0"/>
        <v>0.88571428571428568</v>
      </c>
      <c r="O34" s="124">
        <f t="shared" si="1"/>
        <v>0.84521586732857745</v>
      </c>
      <c r="P34" s="117">
        <f t="shared" si="2"/>
        <v>2.3649112148945862E-2</v>
      </c>
    </row>
    <row r="35" spans="1:17" x14ac:dyDescent="0.25">
      <c r="A35" s="106" t="s">
        <v>15</v>
      </c>
      <c r="B35" s="107" t="s">
        <v>16</v>
      </c>
      <c r="C35" s="112">
        <v>0.77779562999999996</v>
      </c>
      <c r="D35" s="112">
        <v>0.58237254460535748</v>
      </c>
      <c r="E35" s="112">
        <v>0.17460559763262029</v>
      </c>
      <c r="F35" s="112">
        <v>0.88206160000000011</v>
      </c>
      <c r="G35" s="112">
        <v>0.90363199999999999</v>
      </c>
      <c r="H35" s="113">
        <v>0.64641076373250206</v>
      </c>
      <c r="I35" s="109"/>
      <c r="J35" s="122">
        <v>32</v>
      </c>
      <c r="K35" s="123">
        <f t="shared" si="3"/>
        <v>18.083204300000002</v>
      </c>
      <c r="L35" s="117">
        <f t="shared" si="4"/>
        <v>17.703787062500002</v>
      </c>
      <c r="M35" s="103"/>
      <c r="N35" s="124">
        <f t="shared" si="0"/>
        <v>0.91428571428571426</v>
      </c>
      <c r="O35" s="124">
        <f t="shared" si="1"/>
        <v>0.88223764332532428</v>
      </c>
      <c r="P35" s="117">
        <f t="shared" si="2"/>
        <v>2.4677907295055746E-2</v>
      </c>
    </row>
    <row r="36" spans="1:17" ht="36" customHeight="1" x14ac:dyDescent="0.25">
      <c r="A36" s="106" t="s">
        <v>68</v>
      </c>
      <c r="B36" s="107" t="s">
        <v>37</v>
      </c>
      <c r="C36" s="112">
        <v>0.80846217000000009</v>
      </c>
      <c r="D36" s="112">
        <v>0.841294202207021</v>
      </c>
      <c r="E36" s="112">
        <v>0.30258397602403653</v>
      </c>
      <c r="F36" s="112">
        <v>0.52107358000000004</v>
      </c>
      <c r="G36" s="112">
        <v>0.93191320000000011</v>
      </c>
      <c r="H36" s="113">
        <v>0.59924780126523858</v>
      </c>
      <c r="I36" s="109"/>
      <c r="J36" s="122">
        <v>33</v>
      </c>
      <c r="K36" s="123">
        <f t="shared" si="3"/>
        <v>18.860999930000002</v>
      </c>
      <c r="L36" s="117">
        <f t="shared" si="4"/>
        <v>18.472102115000002</v>
      </c>
      <c r="M36" s="103"/>
      <c r="N36" s="124">
        <f t="shared" si="0"/>
        <v>0.94285714285714284</v>
      </c>
      <c r="O36" s="124">
        <f t="shared" si="1"/>
        <v>0.92018449014604708</v>
      </c>
      <c r="P36" s="117">
        <f t="shared" si="2"/>
        <v>2.5748887621019598E-2</v>
      </c>
    </row>
    <row r="37" spans="1:17" x14ac:dyDescent="0.25">
      <c r="A37" s="106" t="s">
        <v>66</v>
      </c>
      <c r="B37" s="107" t="s">
        <v>35</v>
      </c>
      <c r="C37" s="112">
        <v>0.82751446499999992</v>
      </c>
      <c r="D37" s="112">
        <v>0.83433416000000005</v>
      </c>
      <c r="E37" s="112">
        <v>0.4986556296843897</v>
      </c>
      <c r="F37" s="112">
        <v>0.53861495999999998</v>
      </c>
      <c r="G37" s="112">
        <v>0.82978040000000008</v>
      </c>
      <c r="H37" s="113">
        <v>0.64832357791530681</v>
      </c>
      <c r="I37" s="109"/>
      <c r="J37" s="122">
        <v>34</v>
      </c>
      <c r="K37" s="123">
        <f t="shared" si="3"/>
        <v>19.669462100000001</v>
      </c>
      <c r="L37" s="117">
        <f t="shared" si="4"/>
        <v>19.265231015000001</v>
      </c>
      <c r="M37" s="103"/>
      <c r="N37" s="124">
        <f t="shared" si="0"/>
        <v>0.97142857142857142</v>
      </c>
      <c r="O37" s="124">
        <f t="shared" si="1"/>
        <v>0.95962748640631035</v>
      </c>
      <c r="P37" s="117">
        <f t="shared" si="2"/>
        <v>2.6854456807890829E-2</v>
      </c>
    </row>
    <row r="38" spans="1:17" x14ac:dyDescent="0.25">
      <c r="J38" s="122">
        <v>35</v>
      </c>
      <c r="K38" s="123">
        <f t="shared" si="3"/>
        <v>20.496976565000001</v>
      </c>
      <c r="L38" s="117">
        <f t="shared" si="4"/>
        <v>20.083219332500001</v>
      </c>
      <c r="M38" s="103"/>
      <c r="N38" s="124">
        <f t="shared" si="0"/>
        <v>1</v>
      </c>
      <c r="O38" s="124">
        <f t="shared" si="1"/>
        <v>1</v>
      </c>
      <c r="P38" s="117">
        <f t="shared" si="2"/>
        <v>2.7994678377233014E-2</v>
      </c>
    </row>
    <row r="39" spans="1:17" x14ac:dyDescent="0.25">
      <c r="L39" s="117">
        <f>SUM(L4:L38)</f>
        <v>308.01051705249995</v>
      </c>
      <c r="P39" s="117">
        <f>SUM(P4:P38)</f>
        <v>0.42934627257375146</v>
      </c>
    </row>
    <row r="41" spans="1:17" x14ac:dyDescent="0.25">
      <c r="K41" s="115" t="s">
        <v>162</v>
      </c>
      <c r="L41" s="115">
        <f>1-(L39/(J38*K38/2))</f>
        <v>0.14130745485249718</v>
      </c>
      <c r="O41" s="115" t="s">
        <v>162</v>
      </c>
      <c r="P41" s="115">
        <f>1-P39/0.5</f>
        <v>0.14130745485249707</v>
      </c>
      <c r="Q41" s="126"/>
    </row>
    <row r="43" spans="1:17" x14ac:dyDescent="0.25">
      <c r="K43" t="s">
        <v>165</v>
      </c>
      <c r="L43">
        <f>(J38*K38/2)-L39</f>
        <v>50.68657283500005</v>
      </c>
    </row>
    <row r="44" spans="1:17" x14ac:dyDescent="0.25">
      <c r="L44">
        <f>L43/(J38*K38/2)</f>
        <v>0.14130745485249724</v>
      </c>
    </row>
    <row r="46" spans="1:17" x14ac:dyDescent="0.25">
      <c r="L46">
        <f>L43/(J38*K38/2)</f>
        <v>0.14130745485249724</v>
      </c>
    </row>
  </sheetData>
  <autoFilter ref="A2:H2" xr:uid="{9C6E2AFD-5DB2-4E78-BEC8-FAAC984501F1}">
    <filterColumn colId="0" showButton="0"/>
    <sortState xmlns:xlrd2="http://schemas.microsoft.com/office/spreadsheetml/2017/richdata2" ref="A3:H37">
      <sortCondition ref="C2"/>
    </sortState>
  </autoFilter>
  <mergeCells count="1">
    <mergeCell ref="A2:B2"/>
  </mergeCell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ECBDE-9AA7-4755-8AD0-4A122106733B}">
  <dimension ref="A2:V46"/>
  <sheetViews>
    <sheetView workbookViewId="0">
      <selection activeCell="B4" sqref="B4"/>
    </sheetView>
  </sheetViews>
  <sheetFormatPr defaultRowHeight="15" x14ac:dyDescent="0.25"/>
  <cols>
    <col min="1" max="1" width="14.28515625" customWidth="1"/>
    <col min="2" max="2" width="16.7109375" customWidth="1"/>
    <col min="3" max="3" width="16.42578125" bestFit="1" customWidth="1"/>
    <col min="4" max="4" width="12.7109375" bestFit="1" customWidth="1"/>
    <col min="5" max="5" width="18" bestFit="1" customWidth="1"/>
    <col min="6" max="6" width="21.7109375" bestFit="1" customWidth="1"/>
    <col min="7" max="7" width="19.7109375" bestFit="1" customWidth="1"/>
    <col min="8" max="8" width="8.85546875" customWidth="1"/>
    <col min="9" max="10" width="8.85546875" style="108" customWidth="1"/>
    <col min="11" max="11" width="15.5703125" customWidth="1"/>
    <col min="12" max="12" width="17.140625" customWidth="1"/>
    <col min="13" max="14" width="15.5703125" customWidth="1"/>
    <col min="15" max="15" width="16.7109375" customWidth="1"/>
    <col min="16" max="17" width="17.85546875" customWidth="1"/>
    <col min="18" max="18" width="14.28515625" customWidth="1"/>
    <col min="19" max="19" width="19.28515625" customWidth="1"/>
    <col min="20" max="39" width="14.28515625" customWidth="1"/>
    <col min="40" max="40" width="10.7109375" bestFit="1" customWidth="1"/>
  </cols>
  <sheetData>
    <row r="2" spans="1:22" x14ac:dyDescent="0.25">
      <c r="A2" s="130" t="s">
        <v>158</v>
      </c>
      <c r="B2" s="130"/>
      <c r="C2" s="2" t="s">
        <v>1</v>
      </c>
      <c r="D2" s="2" t="s">
        <v>6</v>
      </c>
      <c r="E2" s="2" t="s">
        <v>149</v>
      </c>
      <c r="F2" s="2" t="s">
        <v>10</v>
      </c>
      <c r="G2" s="2" t="s">
        <v>150</v>
      </c>
      <c r="H2" s="111" t="s">
        <v>157</v>
      </c>
      <c r="J2" s="119"/>
      <c r="K2" s="120" t="s">
        <v>160</v>
      </c>
      <c r="L2" s="125" t="s">
        <v>163</v>
      </c>
      <c r="N2" s="119"/>
      <c r="O2" s="120" t="s">
        <v>170</v>
      </c>
      <c r="P2" s="125" t="s">
        <v>163</v>
      </c>
      <c r="Q2" s="126"/>
      <c r="R2" s="118"/>
      <c r="S2" s="118" t="s">
        <v>159</v>
      </c>
    </row>
    <row r="3" spans="1:22" x14ac:dyDescent="0.25">
      <c r="A3" s="106" t="s">
        <v>77</v>
      </c>
      <c r="B3" s="107" t="s">
        <v>45</v>
      </c>
      <c r="C3" s="112">
        <v>0.28688462999999997</v>
      </c>
      <c r="D3" s="112">
        <v>2.1049952668659951E-2</v>
      </c>
      <c r="E3" s="112">
        <v>0.28456926448536063</v>
      </c>
      <c r="F3" s="112">
        <v>0.43910988000000001</v>
      </c>
      <c r="G3" s="112">
        <v>0.77070440000000007</v>
      </c>
      <c r="H3" s="113">
        <v>0.38416217429624377</v>
      </c>
      <c r="I3" s="109"/>
      <c r="J3" s="119">
        <v>0</v>
      </c>
      <c r="K3" s="121">
        <v>0</v>
      </c>
      <c r="L3" s="117" t="s">
        <v>164</v>
      </c>
      <c r="N3" s="124">
        <f>J3/$J$38</f>
        <v>0</v>
      </c>
      <c r="O3" s="124">
        <f>K3/$K$38</f>
        <v>0</v>
      </c>
      <c r="P3" s="125" t="s">
        <v>164</v>
      </c>
      <c r="Q3" s="126"/>
      <c r="R3" s="118">
        <v>0</v>
      </c>
      <c r="S3" s="118">
        <v>0</v>
      </c>
    </row>
    <row r="4" spans="1:22" ht="30" x14ac:dyDescent="0.25">
      <c r="A4" s="106" t="s">
        <v>78</v>
      </c>
      <c r="B4" s="31" t="s">
        <v>172</v>
      </c>
      <c r="C4" s="112">
        <v>0.40036253999999999</v>
      </c>
      <c r="D4" s="112">
        <v>5.0792000000000004E-2</v>
      </c>
      <c r="E4" s="112">
        <v>0.31248449048128879</v>
      </c>
      <c r="F4" s="112">
        <v>0.32356594</v>
      </c>
      <c r="G4" s="112">
        <v>0.54417560000000009</v>
      </c>
      <c r="H4" s="113">
        <v>0.35006655691473731</v>
      </c>
      <c r="I4" s="109"/>
      <c r="J4" s="122">
        <v>1</v>
      </c>
      <c r="K4" s="123">
        <f>D3</f>
        <v>2.1049952668659951E-2</v>
      </c>
      <c r="L4" s="117">
        <f>(K4+K3)/2*(J4-J3)</f>
        <v>1.0524976334329975E-2</v>
      </c>
      <c r="M4" s="103"/>
      <c r="N4" s="124">
        <f t="shared" ref="N4:N38" si="0">J4/$J$38</f>
        <v>2.8571428571428571E-2</v>
      </c>
      <c r="O4" s="124">
        <f t="shared" ref="O4:O38" si="1">K4/$K$38</f>
        <v>1.8498910435260506E-3</v>
      </c>
      <c r="P4" s="117">
        <f>(O4+O3)/2*(N4-N3)</f>
        <v>2.6427014907515007E-5</v>
      </c>
      <c r="R4" s="118">
        <v>35</v>
      </c>
      <c r="S4" s="127">
        <f>K38</f>
        <v>11.379022965880704</v>
      </c>
    </row>
    <row r="5" spans="1:22" x14ac:dyDescent="0.25">
      <c r="A5" s="106" t="s">
        <v>81</v>
      </c>
      <c r="B5" s="107" t="s">
        <v>48</v>
      </c>
      <c r="C5" s="112">
        <v>0.34889432500000006</v>
      </c>
      <c r="D5" s="112">
        <v>7.2632559999999999E-2</v>
      </c>
      <c r="E5" s="112">
        <v>0.33991763409987819</v>
      </c>
      <c r="F5" s="112">
        <v>0.28355032000000002</v>
      </c>
      <c r="G5" s="112">
        <v>0.40665452475811037</v>
      </c>
      <c r="H5" s="113">
        <v>0.31665819618426616</v>
      </c>
      <c r="I5" s="109"/>
      <c r="J5" s="122">
        <v>2</v>
      </c>
      <c r="K5" s="123">
        <f>K4+D4</f>
        <v>7.1841952668659947E-2</v>
      </c>
      <c r="L5" s="117">
        <f>(K5+K4)/2*(J5-J4)</f>
        <v>4.6445952668659946E-2</v>
      </c>
      <c r="M5" s="103"/>
      <c r="N5" s="124">
        <f t="shared" si="0"/>
        <v>5.7142857142857141E-2</v>
      </c>
      <c r="O5" s="124">
        <f t="shared" si="1"/>
        <v>6.3135431648282626E-3</v>
      </c>
      <c r="P5" s="117">
        <f t="shared" ref="P5:P38" si="2">(O5+O4)/2*(N5-N4)</f>
        <v>1.1662048869077591E-4</v>
      </c>
    </row>
    <row r="6" spans="1:22" x14ac:dyDescent="0.25">
      <c r="A6" s="106" t="s">
        <v>51</v>
      </c>
      <c r="B6" s="107" t="s">
        <v>19</v>
      </c>
      <c r="C6" s="112">
        <v>0.646326505</v>
      </c>
      <c r="D6" s="112">
        <v>0.11212766940128666</v>
      </c>
      <c r="E6" s="112">
        <v>0.20350297279392529</v>
      </c>
      <c r="F6" s="112">
        <v>0.60577861999999993</v>
      </c>
      <c r="G6" s="112">
        <v>0.75237920000000014</v>
      </c>
      <c r="H6" s="113">
        <v>0.49062137319382826</v>
      </c>
      <c r="I6" s="109"/>
      <c r="J6" s="122">
        <v>3</v>
      </c>
      <c r="K6" s="123">
        <f t="shared" ref="K6:K38" si="3">K5+D5</f>
        <v>0.14447451266865996</v>
      </c>
      <c r="L6" s="117">
        <f t="shared" ref="L6:L38" si="4">(K6+K5)/2*(J6-J5)</f>
        <v>0.10815823266865995</v>
      </c>
      <c r="M6" s="103"/>
      <c r="N6" s="124">
        <f t="shared" si="0"/>
        <v>8.5714285714285715E-2</v>
      </c>
      <c r="O6" s="124">
        <f t="shared" si="1"/>
        <v>1.2696565698290427E-2</v>
      </c>
      <c r="P6" s="117">
        <f t="shared" si="2"/>
        <v>2.7157298375883842E-4</v>
      </c>
      <c r="V6" t="s">
        <v>161</v>
      </c>
    </row>
    <row r="7" spans="1:22" x14ac:dyDescent="0.25">
      <c r="A7" s="106" t="s">
        <v>72</v>
      </c>
      <c r="B7" s="107" t="s">
        <v>41</v>
      </c>
      <c r="C7" s="112">
        <v>0.37886684500000001</v>
      </c>
      <c r="D7" s="112">
        <v>0.11582386566916616</v>
      </c>
      <c r="E7" s="112">
        <v>0.26832282215401948</v>
      </c>
      <c r="F7" s="112">
        <v>0.52677059999999998</v>
      </c>
      <c r="G7" s="112">
        <v>0.67188040000000004</v>
      </c>
      <c r="H7" s="113">
        <v>0.41766985201083279</v>
      </c>
      <c r="I7" s="109"/>
      <c r="J7" s="122">
        <v>4</v>
      </c>
      <c r="K7" s="123">
        <f t="shared" si="3"/>
        <v>0.25660218206994662</v>
      </c>
      <c r="L7" s="117">
        <f t="shared" si="4"/>
        <v>0.20053834736930329</v>
      </c>
      <c r="M7" s="103"/>
      <c r="N7" s="124">
        <f t="shared" si="0"/>
        <v>0.11428571428571428</v>
      </c>
      <c r="O7" s="124">
        <f t="shared" si="1"/>
        <v>2.2550458228211015E-2</v>
      </c>
      <c r="P7" s="117">
        <f t="shared" si="2"/>
        <v>5.035289132357348E-4</v>
      </c>
    </row>
    <row r="8" spans="1:22" x14ac:dyDescent="0.25">
      <c r="A8" s="106" t="s">
        <v>53</v>
      </c>
      <c r="B8" s="107" t="s">
        <v>21</v>
      </c>
      <c r="C8" s="112">
        <v>0.34382539000000001</v>
      </c>
      <c r="D8" s="112">
        <v>0.11864323886260744</v>
      </c>
      <c r="E8" s="112">
        <v>0.20296315028973874</v>
      </c>
      <c r="F8" s="112">
        <v>0.68231735999999998</v>
      </c>
      <c r="G8" s="112">
        <v>0.67217199999999999</v>
      </c>
      <c r="H8" s="113">
        <v>0.43982035309835932</v>
      </c>
      <c r="I8" s="109"/>
      <c r="J8" s="122">
        <v>5</v>
      </c>
      <c r="K8" s="123">
        <f t="shared" si="3"/>
        <v>0.37242604773911281</v>
      </c>
      <c r="L8" s="117">
        <f t="shared" si="4"/>
        <v>0.31451411490452974</v>
      </c>
      <c r="M8" s="103"/>
      <c r="N8" s="124">
        <f t="shared" si="0"/>
        <v>0.14285714285714285</v>
      </c>
      <c r="O8" s="124">
        <f t="shared" si="1"/>
        <v>3.27291762092237E-2</v>
      </c>
      <c r="P8" s="117">
        <f t="shared" si="2"/>
        <v>7.897090633919244E-4</v>
      </c>
      <c r="R8" s="118"/>
      <c r="S8" s="118" t="s">
        <v>159</v>
      </c>
    </row>
    <row r="9" spans="1:22" x14ac:dyDescent="0.25">
      <c r="A9" s="106" t="s">
        <v>80</v>
      </c>
      <c r="B9" s="107" t="s">
        <v>47</v>
      </c>
      <c r="C9" s="112">
        <v>0.27657685500000001</v>
      </c>
      <c r="D9" s="112">
        <v>0.12385713243684683</v>
      </c>
      <c r="E9" s="112">
        <v>0.35827352991391431</v>
      </c>
      <c r="F9" s="112">
        <v>0.47493014</v>
      </c>
      <c r="G9" s="112">
        <v>0.48520489470688671</v>
      </c>
      <c r="H9" s="113">
        <v>0.37962500398158189</v>
      </c>
      <c r="I9" s="109"/>
      <c r="J9" s="122">
        <v>6</v>
      </c>
      <c r="K9" s="123">
        <f t="shared" si="3"/>
        <v>0.49106928660172022</v>
      </c>
      <c r="L9" s="117">
        <f t="shared" si="4"/>
        <v>0.43174766717041652</v>
      </c>
      <c r="M9" s="103"/>
      <c r="N9" s="124">
        <f t="shared" si="0"/>
        <v>0.17142857142857143</v>
      </c>
      <c r="O9" s="124">
        <f t="shared" si="1"/>
        <v>4.3155663546348491E-2</v>
      </c>
      <c r="P9" s="117">
        <f t="shared" si="2"/>
        <v>1.0840691393653175E-3</v>
      </c>
      <c r="R9" s="118">
        <v>0</v>
      </c>
      <c r="S9" s="128">
        <v>0</v>
      </c>
    </row>
    <row r="10" spans="1:22" x14ac:dyDescent="0.25">
      <c r="A10" s="106" t="s">
        <v>71</v>
      </c>
      <c r="B10" s="107" t="s">
        <v>40</v>
      </c>
      <c r="C10" s="112">
        <v>0.44021503499999998</v>
      </c>
      <c r="D10" s="112">
        <v>0.13927330418277856</v>
      </c>
      <c r="E10" s="112">
        <v>0.4816753598058332</v>
      </c>
      <c r="F10" s="112">
        <v>0.46097591999999998</v>
      </c>
      <c r="G10" s="112">
        <v>0.5439676</v>
      </c>
      <c r="H10" s="113">
        <v>0.453265424255754</v>
      </c>
      <c r="I10" s="109"/>
      <c r="J10" s="122">
        <v>7</v>
      </c>
      <c r="K10" s="123">
        <f t="shared" si="3"/>
        <v>0.61492641903856704</v>
      </c>
      <c r="L10" s="117">
        <f t="shared" si="4"/>
        <v>0.55299785282014358</v>
      </c>
      <c r="M10" s="103"/>
      <c r="N10" s="124">
        <f t="shared" si="0"/>
        <v>0.2</v>
      </c>
      <c r="O10" s="124">
        <f t="shared" si="1"/>
        <v>5.4040353102580582E-2</v>
      </c>
      <c r="P10" s="117">
        <f t="shared" si="2"/>
        <v>1.3885145235561301E-3</v>
      </c>
      <c r="R10" s="118">
        <v>1</v>
      </c>
      <c r="S10" s="129">
        <v>1</v>
      </c>
    </row>
    <row r="11" spans="1:22" x14ac:dyDescent="0.25">
      <c r="A11" s="106" t="s">
        <v>52</v>
      </c>
      <c r="B11" s="107" t="s">
        <v>20</v>
      </c>
      <c r="C11" s="112">
        <v>0.635318885</v>
      </c>
      <c r="D11" s="112">
        <v>0.16322107429024188</v>
      </c>
      <c r="E11" s="112">
        <v>0.20309946946781812</v>
      </c>
      <c r="F11" s="112">
        <v>0.54975350000000001</v>
      </c>
      <c r="G11" s="112">
        <v>0.67059120000000005</v>
      </c>
      <c r="H11" s="113">
        <v>0.4628180819432095</v>
      </c>
      <c r="I11" s="109"/>
      <c r="J11" s="122">
        <v>8</v>
      </c>
      <c r="K11" s="123">
        <f t="shared" si="3"/>
        <v>0.75419972322134554</v>
      </c>
      <c r="L11" s="117">
        <f t="shared" si="4"/>
        <v>0.68456307112995629</v>
      </c>
      <c r="M11" s="103"/>
      <c r="N11" s="124">
        <f t="shared" si="0"/>
        <v>0.22857142857142856</v>
      </c>
      <c r="O11" s="124">
        <f t="shared" si="1"/>
        <v>6.6279831360105929E-2</v>
      </c>
      <c r="P11" s="117">
        <f t="shared" si="2"/>
        <v>1.7188597780383775E-3</v>
      </c>
    </row>
    <row r="12" spans="1:22" x14ac:dyDescent="0.25">
      <c r="A12" s="106" t="s">
        <v>79</v>
      </c>
      <c r="B12" s="107" t="s">
        <v>46</v>
      </c>
      <c r="C12" s="112">
        <v>0.50227591999999999</v>
      </c>
      <c r="D12" s="112">
        <v>0.18049262889513421</v>
      </c>
      <c r="E12" s="112">
        <v>0.33916643712932065</v>
      </c>
      <c r="F12" s="112">
        <v>0.4611922</v>
      </c>
      <c r="G12" s="112">
        <v>0.61328959999999999</v>
      </c>
      <c r="H12" s="113">
        <v>0.43902739724554296</v>
      </c>
      <c r="I12" s="109"/>
      <c r="J12" s="122">
        <v>9</v>
      </c>
      <c r="K12" s="123">
        <f t="shared" si="3"/>
        <v>0.91742079751158745</v>
      </c>
      <c r="L12" s="117">
        <f t="shared" si="4"/>
        <v>0.83581026036646655</v>
      </c>
      <c r="M12" s="103"/>
      <c r="N12" s="124">
        <f t="shared" si="0"/>
        <v>0.25714285714285712</v>
      </c>
      <c r="O12" s="124">
        <f t="shared" si="1"/>
        <v>8.0623863776566482E-2</v>
      </c>
      <c r="P12" s="117">
        <f t="shared" si="2"/>
        <v>2.0986242162381757E-3</v>
      </c>
    </row>
    <row r="13" spans="1:22" x14ac:dyDescent="0.25">
      <c r="A13" s="106" t="s">
        <v>60</v>
      </c>
      <c r="B13" s="107" t="s">
        <v>29</v>
      </c>
      <c r="C13" s="112">
        <v>0.50703099500000004</v>
      </c>
      <c r="D13" s="112">
        <v>0.21263304569854968</v>
      </c>
      <c r="E13" s="112">
        <v>0.30589877707239488</v>
      </c>
      <c r="F13" s="112">
        <v>0.62406089999999992</v>
      </c>
      <c r="G13" s="112">
        <v>0.73775600000000008</v>
      </c>
      <c r="H13" s="113">
        <v>0.50022766757436443</v>
      </c>
      <c r="I13" s="109"/>
      <c r="J13" s="122">
        <v>10</v>
      </c>
      <c r="K13" s="123">
        <f t="shared" si="3"/>
        <v>1.0979134264067216</v>
      </c>
      <c r="L13" s="117">
        <f t="shared" si="4"/>
        <v>1.0076671119591545</v>
      </c>
      <c r="M13" s="103"/>
      <c r="N13" s="124">
        <f t="shared" si="0"/>
        <v>0.2857142857142857</v>
      </c>
      <c r="O13" s="124">
        <f t="shared" si="1"/>
        <v>9.6485737808838859E-2</v>
      </c>
      <c r="P13" s="117">
        <f t="shared" si="2"/>
        <v>2.5301371655057914E-3</v>
      </c>
    </row>
    <row r="14" spans="1:22" x14ac:dyDescent="0.25">
      <c r="A14" s="106" t="s">
        <v>75</v>
      </c>
      <c r="B14" s="107" t="s">
        <v>96</v>
      </c>
      <c r="C14" s="112">
        <v>0.36000341999999996</v>
      </c>
      <c r="D14" s="112">
        <v>0.2155323159086025</v>
      </c>
      <c r="E14" s="112">
        <v>0.38374293766269163</v>
      </c>
      <c r="F14" s="112">
        <v>0.40998915999999996</v>
      </c>
      <c r="G14" s="112">
        <v>0.6763344</v>
      </c>
      <c r="H14" s="113">
        <v>0.41744644389701502</v>
      </c>
      <c r="I14" s="109"/>
      <c r="J14" s="122">
        <v>11</v>
      </c>
      <c r="K14" s="123">
        <f t="shared" si="3"/>
        <v>1.3105464721052713</v>
      </c>
      <c r="L14" s="117">
        <f t="shared" si="4"/>
        <v>1.2042299492559965</v>
      </c>
      <c r="M14" s="103"/>
      <c r="N14" s="124">
        <f t="shared" si="0"/>
        <v>0.31428571428571428</v>
      </c>
      <c r="O14" s="124">
        <f t="shared" si="1"/>
        <v>0.11517214404390111</v>
      </c>
      <c r="P14" s="117">
        <f t="shared" si="2"/>
        <v>3.0236840264677152E-3</v>
      </c>
    </row>
    <row r="15" spans="1:22" x14ac:dyDescent="0.25">
      <c r="A15" s="106" t="s">
        <v>76</v>
      </c>
      <c r="B15" s="107" t="s">
        <v>44</v>
      </c>
      <c r="C15" s="112">
        <v>0.522958645</v>
      </c>
      <c r="D15" s="112">
        <v>0.22210951998596482</v>
      </c>
      <c r="E15" s="112">
        <v>0.3262218992927256</v>
      </c>
      <c r="F15" s="112">
        <v>0.51269586</v>
      </c>
      <c r="G15" s="112">
        <v>0.6952252000000001</v>
      </c>
      <c r="H15" s="113">
        <v>0.46980301761587107</v>
      </c>
      <c r="I15" s="109"/>
      <c r="J15" s="122">
        <v>12</v>
      </c>
      <c r="K15" s="123">
        <f t="shared" si="3"/>
        <v>1.5260787880138738</v>
      </c>
      <c r="L15" s="117">
        <f t="shared" si="4"/>
        <v>1.4183126300595725</v>
      </c>
      <c r="M15" s="103"/>
      <c r="N15" s="124">
        <f t="shared" si="0"/>
        <v>0.34285714285714286</v>
      </c>
      <c r="O15" s="124">
        <f t="shared" si="1"/>
        <v>0.13411334106537323</v>
      </c>
      <c r="P15" s="117">
        <f t="shared" si="2"/>
        <v>3.5612212158467773E-3</v>
      </c>
    </row>
    <row r="16" spans="1:22" x14ac:dyDescent="0.25">
      <c r="A16" s="106" t="s">
        <v>50</v>
      </c>
      <c r="B16" s="107" t="s">
        <v>18</v>
      </c>
      <c r="C16" s="112">
        <v>0.69403934</v>
      </c>
      <c r="D16" s="112">
        <v>0.23468653179393315</v>
      </c>
      <c r="E16" s="112">
        <v>0.36578880114193152</v>
      </c>
      <c r="F16" s="112">
        <v>0.71006698000000001</v>
      </c>
      <c r="G16" s="112">
        <v>0.8177388000000001</v>
      </c>
      <c r="H16" s="113">
        <v>0.59496552500922861</v>
      </c>
      <c r="I16" s="109"/>
      <c r="J16" s="122">
        <v>13</v>
      </c>
      <c r="K16" s="123">
        <f t="shared" si="3"/>
        <v>1.7481883079998386</v>
      </c>
      <c r="L16" s="117">
        <f t="shared" si="4"/>
        <v>1.6371335480068563</v>
      </c>
      <c r="M16" s="103"/>
      <c r="N16" s="124">
        <f t="shared" si="0"/>
        <v>0.37142857142857144</v>
      </c>
      <c r="O16" s="124">
        <f t="shared" si="1"/>
        <v>0.15363254940619006</v>
      </c>
      <c r="P16" s="117">
        <f t="shared" si="2"/>
        <v>4.1106555781651915E-3</v>
      </c>
    </row>
    <row r="17" spans="1:16" x14ac:dyDescent="0.25">
      <c r="A17" s="106" t="s">
        <v>63</v>
      </c>
      <c r="B17" s="107" t="s">
        <v>32</v>
      </c>
      <c r="C17" s="112">
        <v>0.69083377000000001</v>
      </c>
      <c r="D17" s="112">
        <v>0.25034693414936143</v>
      </c>
      <c r="E17" s="112">
        <v>0.29839336584164322</v>
      </c>
      <c r="F17" s="112">
        <v>0.52199967999999997</v>
      </c>
      <c r="G17" s="112">
        <v>0.84225240000000001</v>
      </c>
      <c r="H17" s="113">
        <v>0.5225975953944918</v>
      </c>
      <c r="I17" s="109"/>
      <c r="J17" s="122">
        <v>14</v>
      </c>
      <c r="K17" s="123">
        <f t="shared" si="3"/>
        <v>1.9828748397937717</v>
      </c>
      <c r="L17" s="117">
        <f t="shared" si="4"/>
        <v>1.865531573896805</v>
      </c>
      <c r="M17" s="103"/>
      <c r="N17" s="124">
        <f t="shared" si="0"/>
        <v>0.4</v>
      </c>
      <c r="O17" s="124">
        <f t="shared" si="1"/>
        <v>0.17425703821314881</v>
      </c>
      <c r="P17" s="117">
        <f t="shared" si="2"/>
        <v>4.6841369659905568E-3</v>
      </c>
    </row>
    <row r="18" spans="1:16" x14ac:dyDescent="0.25">
      <c r="A18" s="106" t="s">
        <v>69</v>
      </c>
      <c r="B18" s="107" t="s">
        <v>38</v>
      </c>
      <c r="C18" s="112">
        <v>0.56374321500000002</v>
      </c>
      <c r="D18" s="112">
        <v>0.26198498977661355</v>
      </c>
      <c r="E18" s="112">
        <v>0.50492180007202925</v>
      </c>
      <c r="F18" s="112">
        <v>0.393015</v>
      </c>
      <c r="G18" s="112">
        <v>0.87976279999999996</v>
      </c>
      <c r="H18" s="113">
        <v>0.52049124365134891</v>
      </c>
      <c r="I18" s="109"/>
      <c r="J18" s="122">
        <v>15</v>
      </c>
      <c r="K18" s="123">
        <f t="shared" si="3"/>
        <v>2.233221773943133</v>
      </c>
      <c r="L18" s="117">
        <f t="shared" si="4"/>
        <v>2.1080483068684526</v>
      </c>
      <c r="M18" s="103"/>
      <c r="N18" s="124">
        <f t="shared" si="0"/>
        <v>0.42857142857142855</v>
      </c>
      <c r="O18" s="124">
        <f t="shared" si="1"/>
        <v>0.19625777895336974</v>
      </c>
      <c r="P18" s="117">
        <f t="shared" si="2"/>
        <v>5.2930688166645421E-3</v>
      </c>
    </row>
    <row r="19" spans="1:16" x14ac:dyDescent="0.25">
      <c r="A19" s="106" t="s">
        <v>74</v>
      </c>
      <c r="B19" s="107" t="s">
        <v>43</v>
      </c>
      <c r="C19" s="112">
        <v>0.63674856000000002</v>
      </c>
      <c r="D19" s="112">
        <v>0.2788653323180233</v>
      </c>
      <c r="E19" s="112">
        <v>0.35858799764312016</v>
      </c>
      <c r="F19" s="112">
        <v>0.40412833999999997</v>
      </c>
      <c r="G19" s="112">
        <v>0.49664640000000004</v>
      </c>
      <c r="H19" s="113">
        <v>0.44487794887079002</v>
      </c>
      <c r="I19" s="109"/>
      <c r="J19" s="122">
        <v>16</v>
      </c>
      <c r="K19" s="123">
        <f t="shared" si="3"/>
        <v>2.4952067637197466</v>
      </c>
      <c r="L19" s="117">
        <f t="shared" si="4"/>
        <v>2.3642142688314398</v>
      </c>
      <c r="M19" s="103"/>
      <c r="N19" s="124">
        <f t="shared" si="0"/>
        <v>0.45714285714285713</v>
      </c>
      <c r="O19" s="124">
        <f t="shared" si="1"/>
        <v>0.21928128374478806</v>
      </c>
      <c r="P19" s="117">
        <f t="shared" si="2"/>
        <v>5.9362723242593991E-3</v>
      </c>
    </row>
    <row r="20" spans="1:16" x14ac:dyDescent="0.25">
      <c r="A20" s="106" t="s">
        <v>59</v>
      </c>
      <c r="B20" s="107" t="s">
        <v>27</v>
      </c>
      <c r="C20" s="112">
        <v>0.66246691000000002</v>
      </c>
      <c r="D20" s="112">
        <v>0.31718616189744087</v>
      </c>
      <c r="E20" s="112">
        <v>0.36551260596193563</v>
      </c>
      <c r="F20" s="112">
        <v>0.51571212</v>
      </c>
      <c r="G20" s="112">
        <v>0.79456000000000016</v>
      </c>
      <c r="H20" s="113">
        <v>0.53107689983453266</v>
      </c>
      <c r="I20" s="109"/>
      <c r="J20" s="122">
        <v>17</v>
      </c>
      <c r="K20" s="123">
        <f t="shared" si="3"/>
        <v>2.7740720960377701</v>
      </c>
      <c r="L20" s="117">
        <f t="shared" si="4"/>
        <v>2.6346394298787583</v>
      </c>
      <c r="M20" s="103"/>
      <c r="N20" s="124">
        <f t="shared" si="0"/>
        <v>0.48571428571428571</v>
      </c>
      <c r="O20" s="124">
        <f t="shared" si="1"/>
        <v>0.24378825004182286</v>
      </c>
      <c r="P20" s="117">
        <f t="shared" si="2"/>
        <v>6.6152790540944442E-3</v>
      </c>
    </row>
    <row r="21" spans="1:16" x14ac:dyDescent="0.25">
      <c r="A21" s="106" t="s">
        <v>49</v>
      </c>
      <c r="B21" s="107" t="s">
        <v>17</v>
      </c>
      <c r="C21" s="112">
        <v>0.64280691999999995</v>
      </c>
      <c r="D21" s="112">
        <v>0.32379486089219434</v>
      </c>
      <c r="E21" s="112">
        <v>0.20976968814918651</v>
      </c>
      <c r="F21" s="112">
        <v>0.66007415999999997</v>
      </c>
      <c r="G21" s="112">
        <v>0.8010948</v>
      </c>
      <c r="H21" s="113">
        <v>0.52892572915593628</v>
      </c>
      <c r="I21" s="109"/>
      <c r="J21" s="122">
        <v>18</v>
      </c>
      <c r="K21" s="123">
        <f t="shared" si="3"/>
        <v>3.0912582579352108</v>
      </c>
      <c r="L21" s="117">
        <f t="shared" si="4"/>
        <v>2.9326651769864904</v>
      </c>
      <c r="M21" s="103"/>
      <c r="N21" s="124">
        <f t="shared" si="0"/>
        <v>0.51428571428571423</v>
      </c>
      <c r="O21" s="124">
        <f t="shared" si="1"/>
        <v>0.27166288944175238</v>
      </c>
      <c r="P21" s="117">
        <f t="shared" si="2"/>
        <v>7.363587706908206E-3</v>
      </c>
    </row>
    <row r="22" spans="1:16" x14ac:dyDescent="0.25">
      <c r="A22" s="106" t="s">
        <v>73</v>
      </c>
      <c r="B22" s="107" t="s">
        <v>42</v>
      </c>
      <c r="C22" s="112">
        <v>0.67786735499999995</v>
      </c>
      <c r="D22" s="112">
        <v>0.32567025708735281</v>
      </c>
      <c r="E22" s="112">
        <v>0.11852621501729108</v>
      </c>
      <c r="F22" s="112">
        <v>0.26207216</v>
      </c>
      <c r="G22" s="112">
        <v>0.65295520000000007</v>
      </c>
      <c r="H22" s="113">
        <v>0.36836050530003817</v>
      </c>
      <c r="I22" s="109"/>
      <c r="J22" s="122">
        <v>19</v>
      </c>
      <c r="K22" s="123">
        <f t="shared" si="3"/>
        <v>3.4150531188274051</v>
      </c>
      <c r="L22" s="117">
        <f t="shared" si="4"/>
        <v>3.253155688381308</v>
      </c>
      <c r="M22" s="103"/>
      <c r="N22" s="124">
        <f t="shared" si="0"/>
        <v>0.54285714285714282</v>
      </c>
      <c r="O22" s="124">
        <f t="shared" si="1"/>
        <v>0.30011830796609079</v>
      </c>
      <c r="P22" s="117">
        <f t="shared" si="2"/>
        <v>8.1683028201120483E-3</v>
      </c>
    </row>
    <row r="23" spans="1:16" ht="17.25" customHeight="1" x14ac:dyDescent="0.25">
      <c r="A23" s="106" t="s">
        <v>64</v>
      </c>
      <c r="B23" s="107" t="s">
        <v>33</v>
      </c>
      <c r="C23" s="112">
        <v>0.55357906000000001</v>
      </c>
      <c r="D23" s="112">
        <v>0.35095400120610676</v>
      </c>
      <c r="E23" s="112">
        <v>0.16837770213691144</v>
      </c>
      <c r="F23" s="112">
        <v>0.46570116000000006</v>
      </c>
      <c r="G23" s="112">
        <v>0.69888680000000003</v>
      </c>
      <c r="H23" s="113">
        <v>0.4266998851134447</v>
      </c>
      <c r="I23" s="109"/>
      <c r="J23" s="122">
        <v>20</v>
      </c>
      <c r="K23" s="123">
        <f t="shared" si="3"/>
        <v>3.740723375914758</v>
      </c>
      <c r="L23" s="117">
        <f t="shared" si="4"/>
        <v>3.5778882473710816</v>
      </c>
      <c r="M23" s="103"/>
      <c r="N23" s="124">
        <f t="shared" si="0"/>
        <v>0.5714285714285714</v>
      </c>
      <c r="O23" s="124">
        <f t="shared" si="1"/>
        <v>0.32873853819709176</v>
      </c>
      <c r="P23" s="117">
        <f t="shared" si="2"/>
        <v>8.9836692309026092E-3</v>
      </c>
    </row>
    <row r="24" spans="1:16" x14ac:dyDescent="0.25">
      <c r="A24" s="106" t="s">
        <v>58</v>
      </c>
      <c r="B24" s="107" t="s">
        <v>26</v>
      </c>
      <c r="C24" s="112">
        <v>0.70440694500000012</v>
      </c>
      <c r="D24" s="112">
        <v>0.36417864</v>
      </c>
      <c r="E24" s="112">
        <v>0.38466852000000001</v>
      </c>
      <c r="F24" s="112">
        <v>0.52614430000000001</v>
      </c>
      <c r="G24" s="112">
        <v>0.92273360000000004</v>
      </c>
      <c r="H24" s="113">
        <v>0.5696317692670001</v>
      </c>
      <c r="I24" s="109"/>
      <c r="J24" s="122">
        <v>21</v>
      </c>
      <c r="K24" s="123">
        <f t="shared" si="3"/>
        <v>4.091677377120865</v>
      </c>
      <c r="L24" s="117">
        <f t="shared" si="4"/>
        <v>3.9162003765178115</v>
      </c>
      <c r="M24" s="103"/>
      <c r="N24" s="124">
        <f t="shared" si="0"/>
        <v>0.6</v>
      </c>
      <c r="O24" s="124">
        <f t="shared" si="1"/>
        <v>0.35958072932882779</v>
      </c>
      <c r="P24" s="117">
        <f t="shared" si="2"/>
        <v>9.833132393227426E-3</v>
      </c>
    </row>
    <row r="25" spans="1:16" x14ac:dyDescent="0.25">
      <c r="A25" s="106" t="s">
        <v>171</v>
      </c>
      <c r="B25" s="107" t="s">
        <v>28</v>
      </c>
      <c r="C25" s="112">
        <v>0.66450627000000007</v>
      </c>
      <c r="D25" s="112">
        <v>0.38792094466935201</v>
      </c>
      <c r="E25" s="112">
        <v>0.36472279992584322</v>
      </c>
      <c r="F25" s="112">
        <v>0.47654293999999997</v>
      </c>
      <c r="G25" s="112">
        <v>0.63217120000000004</v>
      </c>
      <c r="H25" s="113">
        <v>0.50084835873235634</v>
      </c>
      <c r="I25" s="109"/>
      <c r="J25" s="122">
        <v>22</v>
      </c>
      <c r="K25" s="123">
        <f t="shared" si="3"/>
        <v>4.4558560171208654</v>
      </c>
      <c r="L25" s="117">
        <f t="shared" si="4"/>
        <v>4.2737666971208652</v>
      </c>
      <c r="M25" s="103"/>
      <c r="N25" s="124">
        <f t="shared" si="0"/>
        <v>0.62857142857142856</v>
      </c>
      <c r="O25" s="124">
        <f t="shared" si="1"/>
        <v>0.39158511503856469</v>
      </c>
      <c r="P25" s="117">
        <f t="shared" si="2"/>
        <v>1.0730940633819897E-2</v>
      </c>
    </row>
    <row r="26" spans="1:16" x14ac:dyDescent="0.25">
      <c r="A26" s="106" t="s">
        <v>54</v>
      </c>
      <c r="B26" s="107" t="s">
        <v>22</v>
      </c>
      <c r="C26" s="112">
        <v>0.71726882500000011</v>
      </c>
      <c r="D26" s="112">
        <v>0.39685516974894702</v>
      </c>
      <c r="E26" s="112">
        <v>0.27364417443448935</v>
      </c>
      <c r="F26" s="112">
        <v>0.52456413999999996</v>
      </c>
      <c r="G26" s="112">
        <v>0.83696920000000008</v>
      </c>
      <c r="H26" s="113">
        <v>0.53077554230719604</v>
      </c>
      <c r="I26" s="109"/>
      <c r="J26" s="122">
        <v>23</v>
      </c>
      <c r="K26" s="123">
        <f t="shared" si="3"/>
        <v>4.8437769617902173</v>
      </c>
      <c r="L26" s="117">
        <f t="shared" si="4"/>
        <v>4.6498164894555414</v>
      </c>
      <c r="M26" s="103"/>
      <c r="N26" s="124">
        <f t="shared" si="0"/>
        <v>0.65714285714285714</v>
      </c>
      <c r="O26" s="124">
        <f t="shared" si="1"/>
        <v>0.42567599839757619</v>
      </c>
      <c r="P26" s="117">
        <f t="shared" si="2"/>
        <v>1.1675158763373446E-2</v>
      </c>
    </row>
    <row r="27" spans="1:16" x14ac:dyDescent="0.25">
      <c r="A27" s="106" t="s">
        <v>65</v>
      </c>
      <c r="B27" s="107" t="s">
        <v>34</v>
      </c>
      <c r="C27" s="112">
        <v>0.6593966</v>
      </c>
      <c r="D27" s="112">
        <v>0.40651641000637417</v>
      </c>
      <c r="E27" s="112">
        <v>0.33518155871341482</v>
      </c>
      <c r="F27" s="112">
        <v>0.46033992000000001</v>
      </c>
      <c r="G27" s="112">
        <v>0.79421520000000001</v>
      </c>
      <c r="H27" s="113">
        <v>0.51084441544170367</v>
      </c>
      <c r="I27" s="109"/>
      <c r="J27" s="122">
        <v>24</v>
      </c>
      <c r="K27" s="123">
        <f t="shared" si="3"/>
        <v>5.2406321315391642</v>
      </c>
      <c r="L27" s="117">
        <f t="shared" si="4"/>
        <v>5.0422045466646903</v>
      </c>
      <c r="M27" s="103"/>
      <c r="N27" s="124">
        <f t="shared" si="0"/>
        <v>0.68571428571428572</v>
      </c>
      <c r="O27" s="124">
        <f t="shared" si="1"/>
        <v>0.46055203045576715</v>
      </c>
      <c r="P27" s="117">
        <f t="shared" si="2"/>
        <v>1.2660400412190622E-2</v>
      </c>
    </row>
    <row r="28" spans="1:16" x14ac:dyDescent="0.25">
      <c r="A28" s="106" t="s">
        <v>61</v>
      </c>
      <c r="B28" s="107" t="s">
        <v>30</v>
      </c>
      <c r="C28" s="112">
        <v>0.58336840500000009</v>
      </c>
      <c r="D28" s="112">
        <v>0.42715464661997848</v>
      </c>
      <c r="E28" s="112">
        <v>0.33803070717100608</v>
      </c>
      <c r="F28" s="112">
        <v>0.55129633999999994</v>
      </c>
      <c r="G28" s="112">
        <v>0.76143040000000006</v>
      </c>
      <c r="H28" s="113">
        <v>0.52023995993832906</v>
      </c>
      <c r="I28" s="109"/>
      <c r="J28" s="122">
        <v>25</v>
      </c>
      <c r="K28" s="123">
        <f t="shared" si="3"/>
        <v>5.6471485415455387</v>
      </c>
      <c r="L28" s="117">
        <f t="shared" si="4"/>
        <v>5.443890336542351</v>
      </c>
      <c r="M28" s="103"/>
      <c r="N28" s="124">
        <f t="shared" si="0"/>
        <v>0.7142857142857143</v>
      </c>
      <c r="O28" s="124">
        <f t="shared" si="1"/>
        <v>0.49627710203926678</v>
      </c>
      <c r="P28" s="117">
        <f t="shared" si="2"/>
        <v>1.3668987607071919E-2</v>
      </c>
    </row>
    <row r="29" spans="1:16" x14ac:dyDescent="0.25">
      <c r="A29" s="106" t="s">
        <v>56</v>
      </c>
      <c r="B29" s="107" t="s">
        <v>24</v>
      </c>
      <c r="C29" s="112">
        <v>0.71719686999999999</v>
      </c>
      <c r="D29" s="112">
        <v>0.43259091447014619</v>
      </c>
      <c r="E29" s="112">
        <v>0.33874576788167188</v>
      </c>
      <c r="F29" s="112">
        <v>0.64271577999999996</v>
      </c>
      <c r="G29" s="112">
        <v>0.88886240000000005</v>
      </c>
      <c r="H29" s="113">
        <v>0.59469594032360695</v>
      </c>
      <c r="I29" s="109"/>
      <c r="J29" s="122">
        <v>26</v>
      </c>
      <c r="K29" s="123">
        <f t="shared" si="3"/>
        <v>6.0743031881655174</v>
      </c>
      <c r="L29" s="117">
        <f t="shared" si="4"/>
        <v>5.860725864855528</v>
      </c>
      <c r="M29" s="103"/>
      <c r="N29" s="124">
        <f t="shared" si="0"/>
        <v>0.74285714285714288</v>
      </c>
      <c r="O29" s="124">
        <f t="shared" si="1"/>
        <v>0.53381588264466462</v>
      </c>
      <c r="P29" s="117">
        <f t="shared" si="2"/>
        <v>1.4715614066913312E-2</v>
      </c>
    </row>
    <row r="30" spans="1:16" x14ac:dyDescent="0.25">
      <c r="A30" s="106" t="s">
        <v>70</v>
      </c>
      <c r="B30" s="107" t="s">
        <v>39</v>
      </c>
      <c r="C30" s="112">
        <v>0.54556700999999996</v>
      </c>
      <c r="D30" s="112">
        <v>0.46555953350458179</v>
      </c>
      <c r="E30" s="112">
        <v>0.11883096141868546</v>
      </c>
      <c r="F30" s="112">
        <v>0.31805712000000003</v>
      </c>
      <c r="G30" s="112">
        <v>0.55180840000000009</v>
      </c>
      <c r="H30" s="113">
        <v>0.35269908955154206</v>
      </c>
      <c r="I30" s="109"/>
      <c r="J30" s="122">
        <v>27</v>
      </c>
      <c r="K30" s="123">
        <f t="shared" si="3"/>
        <v>6.5068941026356635</v>
      </c>
      <c r="L30" s="117">
        <f t="shared" si="4"/>
        <v>6.2905986454005909</v>
      </c>
      <c r="M30" s="103"/>
      <c r="N30" s="124">
        <f t="shared" si="0"/>
        <v>0.77142857142857146</v>
      </c>
      <c r="O30" s="124">
        <f t="shared" si="1"/>
        <v>0.57183240794452939</v>
      </c>
      <c r="P30" s="117">
        <f t="shared" si="2"/>
        <v>1.5794975579845633E-2</v>
      </c>
    </row>
    <row r="31" spans="1:16" ht="30" x14ac:dyDescent="0.25">
      <c r="A31" s="106" t="s">
        <v>62</v>
      </c>
      <c r="B31" s="107" t="s">
        <v>31</v>
      </c>
      <c r="C31" s="112">
        <v>0.69076873500000002</v>
      </c>
      <c r="D31" s="112">
        <v>0.49108710798430022</v>
      </c>
      <c r="E31" s="112">
        <v>0.12990184040924591</v>
      </c>
      <c r="F31" s="112">
        <v>0.38091464000000003</v>
      </c>
      <c r="G31" s="112">
        <v>0.70731440000000012</v>
      </c>
      <c r="H31" s="113">
        <v>0.42899950250308572</v>
      </c>
      <c r="I31" s="109"/>
      <c r="J31" s="122">
        <v>28</v>
      </c>
      <c r="K31" s="123">
        <f t="shared" si="3"/>
        <v>6.9724536361402452</v>
      </c>
      <c r="L31" s="117">
        <f t="shared" si="4"/>
        <v>6.7396738693879543</v>
      </c>
      <c r="M31" s="103"/>
      <c r="N31" s="124">
        <f t="shared" si="0"/>
        <v>0.8</v>
      </c>
      <c r="O31" s="124">
        <f t="shared" si="1"/>
        <v>0.61274624869347005</v>
      </c>
      <c r="P31" s="117">
        <f t="shared" si="2"/>
        <v>1.6922552237685712E-2</v>
      </c>
    </row>
    <row r="32" spans="1:16" x14ac:dyDescent="0.25">
      <c r="A32" s="106" t="s">
        <v>67</v>
      </c>
      <c r="B32" s="107" t="s">
        <v>36</v>
      </c>
      <c r="C32" s="112">
        <v>0.75883447500000001</v>
      </c>
      <c r="D32" s="112">
        <v>0.5007369710748546</v>
      </c>
      <c r="E32" s="112">
        <v>0.42085535686958664</v>
      </c>
      <c r="F32" s="112">
        <v>0.39645452000000003</v>
      </c>
      <c r="G32" s="112">
        <v>0.80132440000000005</v>
      </c>
      <c r="H32" s="113">
        <v>0.54313021306127651</v>
      </c>
      <c r="I32" s="109"/>
      <c r="J32" s="122">
        <v>29</v>
      </c>
      <c r="K32" s="123">
        <f t="shared" si="3"/>
        <v>7.4635407441245452</v>
      </c>
      <c r="L32" s="117">
        <f t="shared" si="4"/>
        <v>7.2179971901323956</v>
      </c>
      <c r="M32" s="103"/>
      <c r="N32" s="124">
        <f t="shared" si="0"/>
        <v>0.82857142857142863</v>
      </c>
      <c r="O32" s="124">
        <f t="shared" si="1"/>
        <v>0.6559034784008706</v>
      </c>
      <c r="P32" s="117">
        <f t="shared" si="2"/>
        <v>1.8123567529919157E-2</v>
      </c>
    </row>
    <row r="33" spans="1:17" x14ac:dyDescent="0.25">
      <c r="A33" s="106" t="s">
        <v>57</v>
      </c>
      <c r="B33" s="107" t="s">
        <v>25</v>
      </c>
      <c r="C33" s="112">
        <v>0.64761148499999999</v>
      </c>
      <c r="D33" s="112">
        <v>0.56523878880686684</v>
      </c>
      <c r="E33" s="112">
        <v>0.36124299881999994</v>
      </c>
      <c r="F33" s="112">
        <v>0.45037382000000004</v>
      </c>
      <c r="G33" s="112">
        <v>0.79489960000000004</v>
      </c>
      <c r="H33" s="113">
        <v>0.52306134183949382</v>
      </c>
      <c r="I33" s="109"/>
      <c r="J33" s="122">
        <v>30</v>
      </c>
      <c r="K33" s="123">
        <f t="shared" si="3"/>
        <v>7.9642777151993993</v>
      </c>
      <c r="L33" s="117">
        <f t="shared" si="4"/>
        <v>7.7139092296619722</v>
      </c>
      <c r="M33" s="103"/>
      <c r="N33" s="124">
        <f t="shared" si="0"/>
        <v>0.8571428571428571</v>
      </c>
      <c r="O33" s="124">
        <f t="shared" si="1"/>
        <v>0.6999087477966951</v>
      </c>
      <c r="P33" s="117">
        <f t="shared" si="2"/>
        <v>1.9368746088536587E-2</v>
      </c>
    </row>
    <row r="34" spans="1:17" x14ac:dyDescent="0.25">
      <c r="A34" s="106" t="s">
        <v>15</v>
      </c>
      <c r="B34" s="107" t="s">
        <v>16</v>
      </c>
      <c r="C34" s="112">
        <v>0.77779562999999996</v>
      </c>
      <c r="D34" s="112">
        <v>0.58237254460535748</v>
      </c>
      <c r="E34" s="112">
        <v>0.17460559763262029</v>
      </c>
      <c r="F34" s="112">
        <v>0.88206160000000011</v>
      </c>
      <c r="G34" s="112">
        <v>0.90363199999999999</v>
      </c>
      <c r="H34" s="113">
        <v>0.64641076373250206</v>
      </c>
      <c r="I34" s="109"/>
      <c r="J34" s="122">
        <v>31</v>
      </c>
      <c r="K34" s="123">
        <f t="shared" si="3"/>
        <v>8.529516504006267</v>
      </c>
      <c r="L34" s="117">
        <f t="shared" si="4"/>
        <v>8.2468971096028341</v>
      </c>
      <c r="M34" s="103"/>
      <c r="N34" s="124">
        <f t="shared" si="0"/>
        <v>0.88571428571428568</v>
      </c>
      <c r="O34" s="124">
        <f t="shared" si="1"/>
        <v>0.74958250190561126</v>
      </c>
      <c r="P34" s="117">
        <f t="shared" si="2"/>
        <v>2.07070178528901E-2</v>
      </c>
    </row>
    <row r="35" spans="1:17" ht="30" x14ac:dyDescent="0.25">
      <c r="A35" s="106" t="s">
        <v>55</v>
      </c>
      <c r="B35" s="107" t="s">
        <v>23</v>
      </c>
      <c r="C35" s="112">
        <v>0.62265356000000005</v>
      </c>
      <c r="D35" s="112">
        <v>0.59150555506206037</v>
      </c>
      <c r="E35" s="112">
        <v>0.43180370663506984</v>
      </c>
      <c r="F35" s="112">
        <v>0.46840176</v>
      </c>
      <c r="G35" s="112">
        <v>0.83708879999999997</v>
      </c>
      <c r="H35" s="113">
        <v>0.55076778302622453</v>
      </c>
      <c r="I35" s="109"/>
      <c r="J35" s="122">
        <v>32</v>
      </c>
      <c r="K35" s="123">
        <f t="shared" si="3"/>
        <v>9.1118890486116246</v>
      </c>
      <c r="L35" s="117">
        <f t="shared" si="4"/>
        <v>8.8207027763089449</v>
      </c>
      <c r="M35" s="103"/>
      <c r="N35" s="124">
        <f t="shared" si="0"/>
        <v>0.91428571428571426</v>
      </c>
      <c r="O35" s="124">
        <f t="shared" si="1"/>
        <v>0.80076198773243179</v>
      </c>
      <c r="P35" s="117">
        <f t="shared" si="2"/>
        <v>2.214777842340062E-2</v>
      </c>
    </row>
    <row r="36" spans="1:17" x14ac:dyDescent="0.25">
      <c r="A36" s="106" t="s">
        <v>66</v>
      </c>
      <c r="B36" s="107" t="s">
        <v>35</v>
      </c>
      <c r="C36" s="112">
        <v>0.82751446499999992</v>
      </c>
      <c r="D36" s="112">
        <v>0.83433416000000005</v>
      </c>
      <c r="E36" s="112">
        <v>0.4986556296843897</v>
      </c>
      <c r="F36" s="112">
        <v>0.53861495999999998</v>
      </c>
      <c r="G36" s="112">
        <v>0.82978040000000008</v>
      </c>
      <c r="H36" s="113">
        <v>0.64832357791530681</v>
      </c>
      <c r="I36" s="109"/>
      <c r="J36" s="122">
        <v>33</v>
      </c>
      <c r="K36" s="123">
        <f t="shared" si="3"/>
        <v>9.7033946036736847</v>
      </c>
      <c r="L36" s="117">
        <f t="shared" si="4"/>
        <v>9.4076418261426547</v>
      </c>
      <c r="M36" s="103"/>
      <c r="N36" s="124">
        <f t="shared" si="0"/>
        <v>0.94285714285714284</v>
      </c>
      <c r="O36" s="124">
        <f t="shared" si="1"/>
        <v>0.8527440917176029</v>
      </c>
      <c r="P36" s="117">
        <f t="shared" si="2"/>
        <v>2.3621515420714789E-2</v>
      </c>
    </row>
    <row r="37" spans="1:17" ht="30" customHeight="1" x14ac:dyDescent="0.25">
      <c r="A37" s="106" t="s">
        <v>68</v>
      </c>
      <c r="B37" s="107" t="s">
        <v>37</v>
      </c>
      <c r="C37" s="112">
        <v>0.80846217000000009</v>
      </c>
      <c r="D37" s="112">
        <v>0.841294202207021</v>
      </c>
      <c r="E37" s="112">
        <v>0.30258397602403653</v>
      </c>
      <c r="F37" s="112">
        <v>0.52107358000000004</v>
      </c>
      <c r="G37" s="112">
        <v>0.93191320000000011</v>
      </c>
      <c r="H37" s="113">
        <v>0.59924780126523858</v>
      </c>
      <c r="I37" s="109"/>
      <c r="J37" s="122">
        <v>34</v>
      </c>
      <c r="K37" s="123">
        <f t="shared" si="3"/>
        <v>10.537728763673684</v>
      </c>
      <c r="L37" s="117">
        <f t="shared" si="4"/>
        <v>10.120561683673685</v>
      </c>
      <c r="M37" s="103"/>
      <c r="N37" s="124">
        <f t="shared" si="0"/>
        <v>0.97142857142857142</v>
      </c>
      <c r="O37" s="124">
        <f t="shared" si="1"/>
        <v>0.926066218098901</v>
      </c>
      <c r="P37" s="117">
        <f t="shared" si="2"/>
        <v>2.5411575854521494E-2</v>
      </c>
    </row>
    <row r="38" spans="1:17" x14ac:dyDescent="0.25">
      <c r="C38" s="103">
        <f>AVERAGE(C3:C37)</f>
        <v>0.58562790185714275</v>
      </c>
      <c r="D38" s="103">
        <f t="shared" ref="D38:G38" si="5">AVERAGE(D3:D37)</f>
        <v>0.32511494188230583</v>
      </c>
      <c r="E38" s="103">
        <f t="shared" si="5"/>
        <v>0.31066258617808623</v>
      </c>
      <c r="F38" s="103">
        <f t="shared" si="5"/>
        <v>0.49785758342857145</v>
      </c>
      <c r="G38" s="103">
        <f t="shared" si="5"/>
        <v>0.72623929769900009</v>
      </c>
      <c r="J38" s="122">
        <v>35</v>
      </c>
      <c r="K38" s="123">
        <f t="shared" si="3"/>
        <v>11.379022965880704</v>
      </c>
      <c r="L38" s="117">
        <f t="shared" si="4"/>
        <v>10.958375864777194</v>
      </c>
      <c r="M38" s="103"/>
      <c r="N38" s="124">
        <f t="shared" si="0"/>
        <v>1</v>
      </c>
      <c r="O38" s="124">
        <f t="shared" si="1"/>
        <v>1</v>
      </c>
      <c r="P38" s="117">
        <f t="shared" si="2"/>
        <v>2.7515231687127165E-2</v>
      </c>
    </row>
    <row r="39" spans="1:17" x14ac:dyDescent="0.25">
      <c r="L39" s="117">
        <f>SUM(L4:L38)</f>
        <v>131.89174891317339</v>
      </c>
      <c r="P39" s="117">
        <f>SUM(P4:P38)</f>
        <v>0.3311651355773379</v>
      </c>
    </row>
    <row r="41" spans="1:17" x14ac:dyDescent="0.25">
      <c r="K41" s="115" t="s">
        <v>162</v>
      </c>
      <c r="L41" s="115">
        <f>1-(L39/(J38*K38/2))</f>
        <v>0.33766972884532409</v>
      </c>
      <c r="O41" s="115" t="s">
        <v>162</v>
      </c>
      <c r="P41" s="115">
        <f>1-P39/0.5</f>
        <v>0.3376697288453242</v>
      </c>
      <c r="Q41" s="126"/>
    </row>
    <row r="43" spans="1:17" x14ac:dyDescent="0.25">
      <c r="K43" t="s">
        <v>165</v>
      </c>
      <c r="L43">
        <f>(J38*K38/2)-L39</f>
        <v>67.241152989738936</v>
      </c>
    </row>
    <row r="44" spans="1:17" x14ac:dyDescent="0.25">
      <c r="L44">
        <f>L43/(J38*K38/2)</f>
        <v>0.33766972884532415</v>
      </c>
    </row>
    <row r="46" spans="1:17" x14ac:dyDescent="0.25">
      <c r="L46">
        <f>L43/(J38*K38/2)</f>
        <v>0.33766972884532415</v>
      </c>
    </row>
  </sheetData>
  <autoFilter ref="A2:H2" xr:uid="{9C6E2AFD-5DB2-4E78-BEC8-FAAC984501F1}">
    <filterColumn colId="0" showButton="0"/>
    <sortState xmlns:xlrd2="http://schemas.microsoft.com/office/spreadsheetml/2017/richdata2" ref="A3:H37">
      <sortCondition ref="D2"/>
    </sortState>
  </autoFilter>
  <mergeCells count="1">
    <mergeCell ref="A2:B2"/>
  </mergeCells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4BEEB-CB39-49E5-92A0-E0010D3DC781}">
  <dimension ref="A2:AD46"/>
  <sheetViews>
    <sheetView workbookViewId="0">
      <selection activeCell="B18" sqref="B18"/>
    </sheetView>
  </sheetViews>
  <sheetFormatPr defaultRowHeight="15" x14ac:dyDescent="0.25"/>
  <cols>
    <col min="1" max="1" width="14.28515625" customWidth="1"/>
    <col min="2" max="2" width="16.7109375" customWidth="1"/>
    <col min="3" max="3" width="16.42578125" bestFit="1" customWidth="1"/>
    <col min="4" max="4" width="12.7109375" bestFit="1" customWidth="1"/>
    <col min="5" max="5" width="18" bestFit="1" customWidth="1"/>
    <col min="6" max="6" width="21.7109375" bestFit="1" customWidth="1"/>
    <col min="7" max="7" width="19.7109375" bestFit="1" customWidth="1"/>
    <col min="8" max="8" width="8.85546875" customWidth="1"/>
    <col min="9" max="10" width="8.85546875" style="108" customWidth="1"/>
    <col min="11" max="11" width="15.5703125" customWidth="1"/>
    <col min="12" max="12" width="17.140625" customWidth="1"/>
    <col min="13" max="14" width="15.5703125" customWidth="1"/>
    <col min="15" max="15" width="16.7109375" customWidth="1"/>
    <col min="16" max="17" width="17.85546875" customWidth="1"/>
    <col min="18" max="18" width="14.28515625" customWidth="1"/>
    <col min="19" max="19" width="19.28515625" customWidth="1"/>
    <col min="20" max="39" width="14.28515625" customWidth="1"/>
    <col min="40" max="40" width="10.7109375" bestFit="1" customWidth="1"/>
  </cols>
  <sheetData>
    <row r="2" spans="1:30" x14ac:dyDescent="0.25">
      <c r="A2" s="130" t="s">
        <v>158</v>
      </c>
      <c r="B2" s="130"/>
      <c r="C2" s="2" t="s">
        <v>1</v>
      </c>
      <c r="D2" s="2" t="s">
        <v>6</v>
      </c>
      <c r="E2" s="2" t="s">
        <v>149</v>
      </c>
      <c r="F2" s="2" t="s">
        <v>10</v>
      </c>
      <c r="G2" s="2" t="s">
        <v>150</v>
      </c>
      <c r="H2" s="111" t="s">
        <v>157</v>
      </c>
      <c r="J2" s="119"/>
      <c r="K2" s="120" t="s">
        <v>160</v>
      </c>
      <c r="L2" s="125" t="s">
        <v>163</v>
      </c>
      <c r="N2" s="119"/>
      <c r="O2" s="120" t="s">
        <v>170</v>
      </c>
      <c r="P2" s="125" t="s">
        <v>163</v>
      </c>
      <c r="Q2" s="126"/>
      <c r="R2" s="118"/>
      <c r="S2" s="118" t="s">
        <v>159</v>
      </c>
      <c r="X2" s="126" t="s">
        <v>166</v>
      </c>
      <c r="Y2" s="126" t="s">
        <v>167</v>
      </c>
      <c r="Z2" s="126" t="s">
        <v>168</v>
      </c>
      <c r="AA2" s="126" t="s">
        <v>169</v>
      </c>
      <c r="AC2" s="126"/>
      <c r="AD2" s="126"/>
    </row>
    <row r="3" spans="1:30" x14ac:dyDescent="0.25">
      <c r="A3" s="106" t="s">
        <v>73</v>
      </c>
      <c r="B3" s="107" t="s">
        <v>42</v>
      </c>
      <c r="C3" s="112">
        <v>0.67786735499999995</v>
      </c>
      <c r="D3" s="112">
        <v>0.32567025708735281</v>
      </c>
      <c r="E3" s="112">
        <v>0.11852621501729108</v>
      </c>
      <c r="F3" s="112">
        <v>0.26207216</v>
      </c>
      <c r="G3" s="112">
        <v>0.65295520000000007</v>
      </c>
      <c r="H3" s="113">
        <v>0.36836050530003817</v>
      </c>
      <c r="I3" s="109"/>
      <c r="J3" s="119">
        <v>0</v>
      </c>
      <c r="K3" s="121">
        <v>0</v>
      </c>
      <c r="L3" s="117" t="s">
        <v>164</v>
      </c>
      <c r="N3" s="124">
        <f>J3/$J$38</f>
        <v>0</v>
      </c>
      <c r="O3" s="124">
        <f>K3/$K$38</f>
        <v>0</v>
      </c>
      <c r="P3" s="125" t="s">
        <v>164</v>
      </c>
      <c r="Q3" s="126"/>
      <c r="R3" s="118">
        <v>0</v>
      </c>
      <c r="S3" s="118">
        <v>0</v>
      </c>
      <c r="X3" s="114">
        <f t="shared" ref="X3:X38" si="0">N3</f>
        <v>0</v>
      </c>
      <c r="Y3" s="114">
        <f t="shared" ref="Y3:Y38" si="1">N3</f>
        <v>0</v>
      </c>
      <c r="Z3" s="114">
        <f t="shared" ref="Z3:Z38" si="2">O3</f>
        <v>0</v>
      </c>
      <c r="AA3" s="114">
        <f t="shared" ref="AA3:AA38" si="3">N3-O3</f>
        <v>0</v>
      </c>
    </row>
    <row r="4" spans="1:30" ht="30" x14ac:dyDescent="0.25">
      <c r="A4" s="106" t="s">
        <v>70</v>
      </c>
      <c r="B4" s="107" t="s">
        <v>39</v>
      </c>
      <c r="C4" s="112">
        <v>0.54556700999999996</v>
      </c>
      <c r="D4" s="112">
        <v>0.46555953350458179</v>
      </c>
      <c r="E4" s="112">
        <v>0.11883096141868546</v>
      </c>
      <c r="F4" s="112">
        <v>0.31805712000000003</v>
      </c>
      <c r="G4" s="112">
        <v>0.55180840000000009</v>
      </c>
      <c r="H4" s="113">
        <v>0.35269908955154206</v>
      </c>
      <c r="I4" s="109"/>
      <c r="J4" s="122">
        <v>1</v>
      </c>
      <c r="K4" s="123">
        <f>E3</f>
        <v>0.11852621501729108</v>
      </c>
      <c r="L4" s="117">
        <f>(K4+K3)/2*(J4-J3)</f>
        <v>5.9263107508645538E-2</v>
      </c>
      <c r="M4" s="103"/>
      <c r="N4" s="124">
        <f t="shared" ref="N4:N38" si="4">J4/$J$38</f>
        <v>2.8571428571428571E-2</v>
      </c>
      <c r="O4" s="124">
        <f t="shared" ref="O4:O38" si="5">K4/$K$38</f>
        <v>1.0900776073070604E-2</v>
      </c>
      <c r="P4" s="117">
        <f>(O4+O3)/2*(N4-N3)</f>
        <v>1.557253724724372E-4</v>
      </c>
      <c r="R4" s="118">
        <v>35</v>
      </c>
      <c r="S4" s="127">
        <f>K38</f>
        <v>10.873190516233016</v>
      </c>
      <c r="X4" s="114">
        <f t="shared" si="0"/>
        <v>2.8571428571428571E-2</v>
      </c>
      <c r="Y4" s="114">
        <f t="shared" si="1"/>
        <v>2.8571428571428571E-2</v>
      </c>
      <c r="Z4" s="114">
        <f t="shared" si="2"/>
        <v>1.0900776073070604E-2</v>
      </c>
      <c r="AA4" s="114">
        <f t="shared" si="3"/>
        <v>1.7670652498357968E-2</v>
      </c>
    </row>
    <row r="5" spans="1:30" x14ac:dyDescent="0.25">
      <c r="A5" s="106" t="s">
        <v>62</v>
      </c>
      <c r="B5" s="107" t="s">
        <v>31</v>
      </c>
      <c r="C5" s="112">
        <v>0.69076873500000002</v>
      </c>
      <c r="D5" s="112">
        <v>0.49108710798430022</v>
      </c>
      <c r="E5" s="112">
        <v>0.12990184040924591</v>
      </c>
      <c r="F5" s="112">
        <v>0.38091464000000003</v>
      </c>
      <c r="G5" s="112">
        <v>0.70731440000000012</v>
      </c>
      <c r="H5" s="113">
        <v>0.42899950250308572</v>
      </c>
      <c r="I5" s="109"/>
      <c r="J5" s="122">
        <v>2</v>
      </c>
      <c r="K5" s="123">
        <f>K4+E4</f>
        <v>0.23735717643597654</v>
      </c>
      <c r="L5" s="117">
        <f>(K5+K4)/2*(J5-J4)</f>
        <v>0.17794169572663382</v>
      </c>
      <c r="M5" s="103"/>
      <c r="N5" s="124">
        <f t="shared" si="4"/>
        <v>5.7142857142857141E-2</v>
      </c>
      <c r="O5" s="124">
        <f t="shared" si="5"/>
        <v>2.1829579467187357E-2</v>
      </c>
      <c r="P5" s="117">
        <f t="shared" ref="P5:P38" si="6">(O5+O4)/2*(N5-N4)</f>
        <v>4.6757650771797084E-4</v>
      </c>
      <c r="X5" s="114">
        <f t="shared" si="0"/>
        <v>5.7142857142857141E-2</v>
      </c>
      <c r="Y5" s="114">
        <f t="shared" si="1"/>
        <v>5.7142857142857141E-2</v>
      </c>
      <c r="Z5" s="114">
        <f t="shared" si="2"/>
        <v>2.1829579467187357E-2</v>
      </c>
      <c r="AA5" s="114">
        <f t="shared" si="3"/>
        <v>3.5313277675669788E-2</v>
      </c>
    </row>
    <row r="6" spans="1:30" x14ac:dyDescent="0.25">
      <c r="A6" s="106" t="s">
        <v>64</v>
      </c>
      <c r="B6" s="107" t="s">
        <v>33</v>
      </c>
      <c r="C6" s="112">
        <v>0.55357906000000001</v>
      </c>
      <c r="D6" s="112">
        <v>0.35095400120610676</v>
      </c>
      <c r="E6" s="112">
        <v>0.16837770213691144</v>
      </c>
      <c r="F6" s="112">
        <v>0.46570116000000006</v>
      </c>
      <c r="G6" s="112">
        <v>0.69888680000000003</v>
      </c>
      <c r="H6" s="113">
        <v>0.4266998851134447</v>
      </c>
      <c r="I6" s="109"/>
      <c r="J6" s="122">
        <v>3</v>
      </c>
      <c r="K6" s="123">
        <f t="shared" ref="K6:K38" si="7">K5+E5</f>
        <v>0.36725901684522244</v>
      </c>
      <c r="L6" s="117">
        <f t="shared" ref="L6:L38" si="8">(K6+K5)/2*(J6-J5)</f>
        <v>0.30230809664059949</v>
      </c>
      <c r="M6" s="103"/>
      <c r="N6" s="124">
        <f t="shared" si="4"/>
        <v>8.5714285714285715E-2</v>
      </c>
      <c r="O6" s="124">
        <f t="shared" si="5"/>
        <v>3.3776564136986924E-2</v>
      </c>
      <c r="P6" s="117">
        <f t="shared" si="6"/>
        <v>7.9437348005963258E-4</v>
      </c>
      <c r="V6" t="s">
        <v>161</v>
      </c>
      <c r="X6" s="114">
        <f t="shared" si="0"/>
        <v>8.5714285714285715E-2</v>
      </c>
      <c r="Y6" s="114">
        <f t="shared" si="1"/>
        <v>8.5714285714285715E-2</v>
      </c>
      <c r="Z6" s="114">
        <f t="shared" si="2"/>
        <v>3.3776564136986924E-2</v>
      </c>
      <c r="AA6" s="114">
        <f t="shared" si="3"/>
        <v>5.1937721577298791E-2</v>
      </c>
    </row>
    <row r="7" spans="1:30" x14ac:dyDescent="0.25">
      <c r="A7" s="106" t="s">
        <v>15</v>
      </c>
      <c r="B7" s="107" t="s">
        <v>16</v>
      </c>
      <c r="C7" s="112">
        <v>0.77779562999999996</v>
      </c>
      <c r="D7" s="112">
        <v>0.58237254460535748</v>
      </c>
      <c r="E7" s="112">
        <v>0.17460559763262029</v>
      </c>
      <c r="F7" s="112">
        <v>0.88206160000000011</v>
      </c>
      <c r="G7" s="112">
        <v>0.90363199999999999</v>
      </c>
      <c r="H7" s="113">
        <v>0.64641076373250206</v>
      </c>
      <c r="I7" s="109"/>
      <c r="J7" s="122">
        <v>4</v>
      </c>
      <c r="K7" s="123">
        <f t="shared" si="7"/>
        <v>0.53563671898213383</v>
      </c>
      <c r="L7" s="117">
        <f t="shared" si="8"/>
        <v>0.45144786791367814</v>
      </c>
      <c r="M7" s="103"/>
      <c r="N7" s="124">
        <f t="shared" si="4"/>
        <v>0.11428571428571428</v>
      </c>
      <c r="O7" s="124">
        <f t="shared" si="5"/>
        <v>4.926214786565733E-2</v>
      </c>
      <c r="P7" s="117">
        <f t="shared" si="6"/>
        <v>1.1862673143234893E-3</v>
      </c>
      <c r="X7" s="114">
        <f t="shared" si="0"/>
        <v>0.11428571428571428</v>
      </c>
      <c r="Y7" s="114">
        <f t="shared" si="1"/>
        <v>0.11428571428571428</v>
      </c>
      <c r="Z7" s="114">
        <f t="shared" si="2"/>
        <v>4.926214786565733E-2</v>
      </c>
      <c r="AA7" s="114">
        <f t="shared" si="3"/>
        <v>6.5023566420056952E-2</v>
      </c>
    </row>
    <row r="8" spans="1:30" x14ac:dyDescent="0.25">
      <c r="A8" s="106" t="s">
        <v>53</v>
      </c>
      <c r="B8" s="107" t="s">
        <v>21</v>
      </c>
      <c r="C8" s="112">
        <v>0.34382539000000001</v>
      </c>
      <c r="D8" s="112">
        <v>0.11864323886260744</v>
      </c>
      <c r="E8" s="112">
        <v>0.20296315028973874</v>
      </c>
      <c r="F8" s="112">
        <v>0.68231735999999998</v>
      </c>
      <c r="G8" s="112">
        <v>0.67217199999999999</v>
      </c>
      <c r="H8" s="113">
        <v>0.43982035309835932</v>
      </c>
      <c r="I8" s="109"/>
      <c r="J8" s="122">
        <v>5</v>
      </c>
      <c r="K8" s="123">
        <f t="shared" si="7"/>
        <v>0.71024231661475412</v>
      </c>
      <c r="L8" s="117">
        <f t="shared" si="8"/>
        <v>0.62293951779844403</v>
      </c>
      <c r="M8" s="103"/>
      <c r="N8" s="124">
        <f t="shared" si="4"/>
        <v>0.14285714285714285</v>
      </c>
      <c r="O8" s="124">
        <f t="shared" si="5"/>
        <v>6.5320506943606416E-2</v>
      </c>
      <c r="P8" s="117">
        <f t="shared" si="6"/>
        <v>1.6368950687037675E-3</v>
      </c>
      <c r="R8" s="118"/>
      <c r="S8" s="118" t="s">
        <v>159</v>
      </c>
      <c r="X8" s="114">
        <f t="shared" si="0"/>
        <v>0.14285714285714285</v>
      </c>
      <c r="Y8" s="114">
        <f t="shared" si="1"/>
        <v>0.14285714285714285</v>
      </c>
      <c r="Z8" s="114">
        <f t="shared" si="2"/>
        <v>6.5320506943606416E-2</v>
      </c>
      <c r="AA8" s="114">
        <f t="shared" si="3"/>
        <v>7.7536635913536434E-2</v>
      </c>
    </row>
    <row r="9" spans="1:30" x14ac:dyDescent="0.25">
      <c r="A9" s="106" t="s">
        <v>52</v>
      </c>
      <c r="B9" s="107" t="s">
        <v>20</v>
      </c>
      <c r="C9" s="112">
        <v>0.635318885</v>
      </c>
      <c r="D9" s="112">
        <v>0.16322107429024188</v>
      </c>
      <c r="E9" s="112">
        <v>0.20309946946781812</v>
      </c>
      <c r="F9" s="112">
        <v>0.54975350000000001</v>
      </c>
      <c r="G9" s="112">
        <v>0.67059120000000005</v>
      </c>
      <c r="H9" s="113">
        <v>0.4628180819432095</v>
      </c>
      <c r="I9" s="109"/>
      <c r="J9" s="122">
        <v>6</v>
      </c>
      <c r="K9" s="123">
        <f t="shared" si="7"/>
        <v>0.91320546690449289</v>
      </c>
      <c r="L9" s="117">
        <f t="shared" si="8"/>
        <v>0.81172389175962345</v>
      </c>
      <c r="M9" s="103"/>
      <c r="N9" s="124">
        <f t="shared" si="4"/>
        <v>0.17142857142857143</v>
      </c>
      <c r="O9" s="124">
        <f t="shared" si="5"/>
        <v>8.3986891017970508E-2</v>
      </c>
      <c r="P9" s="117">
        <f t="shared" si="6"/>
        <v>2.1329628280225285E-3</v>
      </c>
      <c r="R9" s="118">
        <v>0</v>
      </c>
      <c r="S9" s="128">
        <v>0</v>
      </c>
      <c r="X9" s="114">
        <f t="shared" si="0"/>
        <v>0.17142857142857143</v>
      </c>
      <c r="Y9" s="114">
        <f t="shared" si="1"/>
        <v>0.17142857142857143</v>
      </c>
      <c r="Z9" s="114">
        <f t="shared" si="2"/>
        <v>8.3986891017970508E-2</v>
      </c>
      <c r="AA9" s="114">
        <f t="shared" si="3"/>
        <v>8.7441680410600922E-2</v>
      </c>
    </row>
    <row r="10" spans="1:30" x14ac:dyDescent="0.25">
      <c r="A10" s="106" t="s">
        <v>51</v>
      </c>
      <c r="B10" s="107" t="s">
        <v>19</v>
      </c>
      <c r="C10" s="112">
        <v>0.646326505</v>
      </c>
      <c r="D10" s="112">
        <v>0.11212766940128666</v>
      </c>
      <c r="E10" s="112">
        <v>0.20350297279392529</v>
      </c>
      <c r="F10" s="112">
        <v>0.60577861999999993</v>
      </c>
      <c r="G10" s="112">
        <v>0.75237920000000014</v>
      </c>
      <c r="H10" s="113">
        <v>0.49062137319382826</v>
      </c>
      <c r="I10" s="109"/>
      <c r="J10" s="122">
        <v>7</v>
      </c>
      <c r="K10" s="123">
        <f t="shared" si="7"/>
        <v>1.116304936372311</v>
      </c>
      <c r="L10" s="117">
        <f t="shared" si="8"/>
        <v>1.014755201638402</v>
      </c>
      <c r="M10" s="103"/>
      <c r="N10" s="124">
        <f t="shared" si="4"/>
        <v>0.2</v>
      </c>
      <c r="O10" s="124">
        <f t="shared" si="5"/>
        <v>0.10266581227522273</v>
      </c>
      <c r="P10" s="117">
        <f t="shared" si="6"/>
        <v>2.6664671899027611E-3</v>
      </c>
      <c r="R10" s="118">
        <v>1</v>
      </c>
      <c r="S10" s="129">
        <v>1</v>
      </c>
      <c r="X10" s="114">
        <f t="shared" si="0"/>
        <v>0.2</v>
      </c>
      <c r="Y10" s="114">
        <f t="shared" si="1"/>
        <v>0.2</v>
      </c>
      <c r="Z10" s="114">
        <f t="shared" si="2"/>
        <v>0.10266581227522273</v>
      </c>
      <c r="AA10" s="114">
        <f t="shared" si="3"/>
        <v>9.7334187724777282E-2</v>
      </c>
    </row>
    <row r="11" spans="1:30" x14ac:dyDescent="0.25">
      <c r="A11" s="106" t="s">
        <v>49</v>
      </c>
      <c r="B11" s="107" t="s">
        <v>17</v>
      </c>
      <c r="C11" s="112">
        <v>0.64280691999999995</v>
      </c>
      <c r="D11" s="112">
        <v>0.32379486089219434</v>
      </c>
      <c r="E11" s="112">
        <v>0.20976968814918651</v>
      </c>
      <c r="F11" s="112">
        <v>0.66007415999999997</v>
      </c>
      <c r="G11" s="112">
        <v>0.8010948</v>
      </c>
      <c r="H11" s="113">
        <v>0.52892572915593628</v>
      </c>
      <c r="I11" s="109"/>
      <c r="J11" s="122">
        <v>8</v>
      </c>
      <c r="K11" s="123">
        <f t="shared" si="7"/>
        <v>1.3198079091662362</v>
      </c>
      <c r="L11" s="117">
        <f t="shared" si="8"/>
        <v>1.2180564227692736</v>
      </c>
      <c r="M11" s="103"/>
      <c r="N11" s="124">
        <f t="shared" si="4"/>
        <v>0.22857142857142856</v>
      </c>
      <c r="O11" s="124">
        <f t="shared" si="5"/>
        <v>0.12138184346129527</v>
      </c>
      <c r="P11" s="117">
        <f t="shared" si="6"/>
        <v>3.2006807962359695E-3</v>
      </c>
      <c r="X11" s="114">
        <f t="shared" si="0"/>
        <v>0.22857142857142856</v>
      </c>
      <c r="Y11" s="114">
        <f t="shared" si="1"/>
        <v>0.22857142857142856</v>
      </c>
      <c r="Z11" s="114">
        <f t="shared" si="2"/>
        <v>0.12138184346129527</v>
      </c>
      <c r="AA11" s="114">
        <f t="shared" si="3"/>
        <v>0.1071895851101333</v>
      </c>
    </row>
    <row r="12" spans="1:30" x14ac:dyDescent="0.25">
      <c r="A12" s="106" t="s">
        <v>72</v>
      </c>
      <c r="B12" s="107" t="s">
        <v>41</v>
      </c>
      <c r="C12" s="112">
        <v>0.37886684500000001</v>
      </c>
      <c r="D12" s="112">
        <v>0.11582386566916616</v>
      </c>
      <c r="E12" s="112">
        <v>0.26832282215401948</v>
      </c>
      <c r="F12" s="112">
        <v>0.52677059999999998</v>
      </c>
      <c r="G12" s="112">
        <v>0.67188040000000004</v>
      </c>
      <c r="H12" s="113">
        <v>0.41766985201083279</v>
      </c>
      <c r="I12" s="109"/>
      <c r="J12" s="122">
        <v>9</v>
      </c>
      <c r="K12" s="123">
        <f t="shared" si="7"/>
        <v>1.5295775973154226</v>
      </c>
      <c r="L12" s="117">
        <f t="shared" si="8"/>
        <v>1.4246927532408296</v>
      </c>
      <c r="M12" s="103"/>
      <c r="N12" s="124">
        <f t="shared" si="4"/>
        <v>0.25714285714285712</v>
      </c>
      <c r="O12" s="124">
        <f t="shared" si="5"/>
        <v>0.14067422023295331</v>
      </c>
      <c r="P12" s="117">
        <f t="shared" si="6"/>
        <v>3.7436580527749779E-3</v>
      </c>
      <c r="X12" s="114">
        <f t="shared" si="0"/>
        <v>0.25714285714285712</v>
      </c>
      <c r="Y12" s="114">
        <f t="shared" si="1"/>
        <v>0.25714285714285712</v>
      </c>
      <c r="Z12" s="114">
        <f t="shared" si="2"/>
        <v>0.14067422023295331</v>
      </c>
      <c r="AA12" s="114">
        <f t="shared" si="3"/>
        <v>0.11646863690990381</v>
      </c>
    </row>
    <row r="13" spans="1:30" x14ac:dyDescent="0.25">
      <c r="A13" s="106" t="s">
        <v>54</v>
      </c>
      <c r="B13" s="107" t="s">
        <v>22</v>
      </c>
      <c r="C13" s="112">
        <v>0.71726882500000011</v>
      </c>
      <c r="D13" s="112">
        <v>0.39685516974894702</v>
      </c>
      <c r="E13" s="112">
        <v>0.27364417443448935</v>
      </c>
      <c r="F13" s="112">
        <v>0.52456413999999996</v>
      </c>
      <c r="G13" s="112">
        <v>0.83696920000000008</v>
      </c>
      <c r="H13" s="113">
        <v>0.53077554230719604</v>
      </c>
      <c r="I13" s="109"/>
      <c r="J13" s="122">
        <v>10</v>
      </c>
      <c r="K13" s="123">
        <f t="shared" si="7"/>
        <v>1.7979004194694421</v>
      </c>
      <c r="L13" s="117">
        <f t="shared" si="8"/>
        <v>1.6637390083924324</v>
      </c>
      <c r="M13" s="103"/>
      <c r="N13" s="124">
        <f t="shared" si="4"/>
        <v>0.2857142857142857</v>
      </c>
      <c r="O13" s="124">
        <f t="shared" si="5"/>
        <v>0.16535168925673521</v>
      </c>
      <c r="P13" s="117">
        <f t="shared" si="6"/>
        <v>4.371798706995552E-3</v>
      </c>
      <c r="X13" s="114">
        <f t="shared" si="0"/>
        <v>0.2857142857142857</v>
      </c>
      <c r="Y13" s="114">
        <f t="shared" si="1"/>
        <v>0.2857142857142857</v>
      </c>
      <c r="Z13" s="114">
        <f t="shared" si="2"/>
        <v>0.16535168925673521</v>
      </c>
      <c r="AA13" s="114">
        <f t="shared" si="3"/>
        <v>0.12036259645755049</v>
      </c>
    </row>
    <row r="14" spans="1:30" x14ac:dyDescent="0.25">
      <c r="A14" s="106" t="s">
        <v>77</v>
      </c>
      <c r="B14" s="107" t="s">
        <v>45</v>
      </c>
      <c r="C14" s="112">
        <v>0.28688462999999997</v>
      </c>
      <c r="D14" s="112">
        <v>2.1049952668659951E-2</v>
      </c>
      <c r="E14" s="112">
        <v>0.28456926448536063</v>
      </c>
      <c r="F14" s="112">
        <v>0.43910988000000001</v>
      </c>
      <c r="G14" s="112">
        <v>0.77070440000000007</v>
      </c>
      <c r="H14" s="113">
        <v>0.38416217429624377</v>
      </c>
      <c r="I14" s="109"/>
      <c r="J14" s="122">
        <v>11</v>
      </c>
      <c r="K14" s="123">
        <f t="shared" si="7"/>
        <v>2.0715445939039316</v>
      </c>
      <c r="L14" s="117">
        <f t="shared" si="8"/>
        <v>1.9347225066866869</v>
      </c>
      <c r="M14" s="103"/>
      <c r="N14" s="124">
        <f t="shared" si="4"/>
        <v>0.31428571428571428</v>
      </c>
      <c r="O14" s="124">
        <f t="shared" si="5"/>
        <v>0.19051855946157117</v>
      </c>
      <c r="P14" s="117">
        <f t="shared" si="6"/>
        <v>5.0838606959758073E-3</v>
      </c>
      <c r="X14" s="114">
        <f t="shared" si="0"/>
        <v>0.31428571428571428</v>
      </c>
      <c r="Y14" s="114">
        <f t="shared" si="1"/>
        <v>0.31428571428571428</v>
      </c>
      <c r="Z14" s="114">
        <f t="shared" si="2"/>
        <v>0.19051855946157117</v>
      </c>
      <c r="AA14" s="114">
        <f t="shared" si="3"/>
        <v>0.12376715482414311</v>
      </c>
    </row>
    <row r="15" spans="1:30" x14ac:dyDescent="0.25">
      <c r="A15" s="106" t="s">
        <v>63</v>
      </c>
      <c r="B15" s="107" t="s">
        <v>32</v>
      </c>
      <c r="C15" s="112">
        <v>0.69083377000000001</v>
      </c>
      <c r="D15" s="112">
        <v>0.25034693414936143</v>
      </c>
      <c r="E15" s="112">
        <v>0.29839336584164322</v>
      </c>
      <c r="F15" s="112">
        <v>0.52199967999999997</v>
      </c>
      <c r="G15" s="112">
        <v>0.84225240000000001</v>
      </c>
      <c r="H15" s="113">
        <v>0.5225975953944918</v>
      </c>
      <c r="I15" s="109"/>
      <c r="J15" s="122">
        <v>12</v>
      </c>
      <c r="K15" s="123">
        <f t="shared" si="7"/>
        <v>2.3561138583892922</v>
      </c>
      <c r="L15" s="117">
        <f t="shared" si="8"/>
        <v>2.2138292261466122</v>
      </c>
      <c r="M15" s="103"/>
      <c r="N15" s="124">
        <f t="shared" si="4"/>
        <v>0.34285714285714286</v>
      </c>
      <c r="O15" s="124">
        <f t="shared" si="5"/>
        <v>0.216690202831612</v>
      </c>
      <c r="P15" s="117">
        <f t="shared" si="6"/>
        <v>5.8172680327597615E-3</v>
      </c>
      <c r="X15" s="114">
        <f t="shared" si="0"/>
        <v>0.34285714285714286</v>
      </c>
      <c r="Y15" s="114">
        <f t="shared" si="1"/>
        <v>0.34285714285714286</v>
      </c>
      <c r="Z15" s="114">
        <f t="shared" si="2"/>
        <v>0.216690202831612</v>
      </c>
      <c r="AA15" s="114">
        <f t="shared" si="3"/>
        <v>0.12616694002553086</v>
      </c>
    </row>
    <row r="16" spans="1:30" x14ac:dyDescent="0.25">
      <c r="A16" s="106" t="s">
        <v>68</v>
      </c>
      <c r="B16" s="107" t="s">
        <v>37</v>
      </c>
      <c r="C16" s="112">
        <v>0.80846217000000009</v>
      </c>
      <c r="D16" s="112">
        <v>0.841294202207021</v>
      </c>
      <c r="E16" s="112">
        <v>0.30258397602403653</v>
      </c>
      <c r="F16" s="112">
        <v>0.52107358000000004</v>
      </c>
      <c r="G16" s="112">
        <v>0.93191320000000011</v>
      </c>
      <c r="H16" s="113">
        <v>0.59924780126523858</v>
      </c>
      <c r="I16" s="109"/>
      <c r="J16" s="122">
        <v>13</v>
      </c>
      <c r="K16" s="123">
        <f t="shared" si="7"/>
        <v>2.6545072242309353</v>
      </c>
      <c r="L16" s="117">
        <f t="shared" si="8"/>
        <v>2.5053105413101138</v>
      </c>
      <c r="M16" s="103"/>
      <c r="N16" s="124">
        <f t="shared" si="4"/>
        <v>0.37142857142857144</v>
      </c>
      <c r="O16" s="124">
        <f t="shared" si="5"/>
        <v>0.24413323948181689</v>
      </c>
      <c r="P16" s="117">
        <f t="shared" si="6"/>
        <v>6.5831920330489862E-3</v>
      </c>
      <c r="X16" s="114">
        <f t="shared" si="0"/>
        <v>0.37142857142857144</v>
      </c>
      <c r="Y16" s="114">
        <f t="shared" si="1"/>
        <v>0.37142857142857144</v>
      </c>
      <c r="Z16" s="114">
        <f t="shared" si="2"/>
        <v>0.24413323948181689</v>
      </c>
      <c r="AA16" s="114">
        <f t="shared" si="3"/>
        <v>0.12729533194675455</v>
      </c>
    </row>
    <row r="17" spans="1:27" x14ac:dyDescent="0.25">
      <c r="A17" s="106" t="s">
        <v>60</v>
      </c>
      <c r="B17" s="107" t="s">
        <v>29</v>
      </c>
      <c r="C17" s="112">
        <v>0.50703099500000004</v>
      </c>
      <c r="D17" s="112">
        <v>0.21263304569854968</v>
      </c>
      <c r="E17" s="112">
        <v>0.30589877707239488</v>
      </c>
      <c r="F17" s="112">
        <v>0.62406089999999992</v>
      </c>
      <c r="G17" s="112">
        <v>0.73775600000000008</v>
      </c>
      <c r="H17" s="113">
        <v>0.50022766757436443</v>
      </c>
      <c r="I17" s="109"/>
      <c r="J17" s="122">
        <v>14</v>
      </c>
      <c r="K17" s="123">
        <f t="shared" si="7"/>
        <v>2.9570912002549719</v>
      </c>
      <c r="L17" s="117">
        <f t="shared" si="8"/>
        <v>2.8057992122429534</v>
      </c>
      <c r="M17" s="103"/>
      <c r="N17" s="124">
        <f t="shared" si="4"/>
        <v>0.4</v>
      </c>
      <c r="O17" s="124">
        <f t="shared" si="5"/>
        <v>0.27196168372477364</v>
      </c>
      <c r="P17" s="117">
        <f t="shared" si="6"/>
        <v>7.37278461723701E-3</v>
      </c>
      <c r="X17" s="114">
        <f t="shared" si="0"/>
        <v>0.4</v>
      </c>
      <c r="Y17" s="114">
        <f t="shared" si="1"/>
        <v>0.4</v>
      </c>
      <c r="Z17" s="114">
        <f t="shared" si="2"/>
        <v>0.27196168372477364</v>
      </c>
      <c r="AA17" s="114">
        <f t="shared" si="3"/>
        <v>0.12803831627522638</v>
      </c>
    </row>
    <row r="18" spans="1:27" ht="30" x14ac:dyDescent="0.25">
      <c r="A18" s="106" t="s">
        <v>78</v>
      </c>
      <c r="B18" s="31" t="s">
        <v>172</v>
      </c>
      <c r="C18" s="112">
        <v>0.40036253999999999</v>
      </c>
      <c r="D18" s="112">
        <v>5.0792000000000004E-2</v>
      </c>
      <c r="E18" s="112">
        <v>0.31248449048128879</v>
      </c>
      <c r="F18" s="112">
        <v>0.32356594</v>
      </c>
      <c r="G18" s="112">
        <v>0.54417560000000009</v>
      </c>
      <c r="H18" s="113">
        <v>0.35006655691473731</v>
      </c>
      <c r="I18" s="109"/>
      <c r="J18" s="122">
        <v>15</v>
      </c>
      <c r="K18" s="123">
        <f t="shared" si="7"/>
        <v>3.2629899773273667</v>
      </c>
      <c r="L18" s="117">
        <f t="shared" si="8"/>
        <v>3.1100405887911693</v>
      </c>
      <c r="M18" s="103"/>
      <c r="N18" s="124">
        <f t="shared" si="4"/>
        <v>0.42857142857142855</v>
      </c>
      <c r="O18" s="124">
        <f t="shared" si="5"/>
        <v>0.30009498798498196</v>
      </c>
      <c r="P18" s="117">
        <f t="shared" si="6"/>
        <v>8.172238167282209E-3</v>
      </c>
      <c r="X18" s="114">
        <f t="shared" si="0"/>
        <v>0.42857142857142855</v>
      </c>
      <c r="Y18" s="114">
        <f t="shared" si="1"/>
        <v>0.42857142857142855</v>
      </c>
      <c r="Z18" s="114">
        <f t="shared" si="2"/>
        <v>0.30009498798498196</v>
      </c>
      <c r="AA18" s="114">
        <f t="shared" si="3"/>
        <v>0.12847644058644658</v>
      </c>
    </row>
    <row r="19" spans="1:27" x14ac:dyDescent="0.25">
      <c r="A19" s="106" t="s">
        <v>76</v>
      </c>
      <c r="B19" s="107" t="s">
        <v>44</v>
      </c>
      <c r="C19" s="112">
        <v>0.522958645</v>
      </c>
      <c r="D19" s="112">
        <v>0.22210951998596482</v>
      </c>
      <c r="E19" s="112">
        <v>0.3262218992927256</v>
      </c>
      <c r="F19" s="112">
        <v>0.51269586</v>
      </c>
      <c r="G19" s="112">
        <v>0.6952252000000001</v>
      </c>
      <c r="H19" s="113">
        <v>0.46980301761587107</v>
      </c>
      <c r="I19" s="109"/>
      <c r="J19" s="122">
        <v>16</v>
      </c>
      <c r="K19" s="123">
        <f t="shared" si="7"/>
        <v>3.5754744678086556</v>
      </c>
      <c r="L19" s="117">
        <f t="shared" si="8"/>
        <v>3.4192322225680112</v>
      </c>
      <c r="M19" s="103"/>
      <c r="N19" s="124">
        <f t="shared" si="4"/>
        <v>0.45714285714285713</v>
      </c>
      <c r="O19" s="124">
        <f t="shared" si="5"/>
        <v>0.3288339758666684</v>
      </c>
      <c r="P19" s="117">
        <f t="shared" si="6"/>
        <v>8.9846994835950083E-3</v>
      </c>
      <c r="X19" s="114">
        <f t="shared" si="0"/>
        <v>0.45714285714285713</v>
      </c>
      <c r="Y19" s="114">
        <f t="shared" si="1"/>
        <v>0.45714285714285713</v>
      </c>
      <c r="Z19" s="114">
        <f t="shared" si="2"/>
        <v>0.3288339758666684</v>
      </c>
      <c r="AA19" s="114">
        <f t="shared" si="3"/>
        <v>0.12830888127618872</v>
      </c>
    </row>
    <row r="20" spans="1:27" x14ac:dyDescent="0.25">
      <c r="A20" s="106" t="s">
        <v>65</v>
      </c>
      <c r="B20" s="107" t="s">
        <v>34</v>
      </c>
      <c r="C20" s="112">
        <v>0.6593966</v>
      </c>
      <c r="D20" s="112">
        <v>0.40651641000637417</v>
      </c>
      <c r="E20" s="112">
        <v>0.33518155871341482</v>
      </c>
      <c r="F20" s="112">
        <v>0.46033992000000001</v>
      </c>
      <c r="G20" s="112">
        <v>0.79421520000000001</v>
      </c>
      <c r="H20" s="113">
        <v>0.51084441544170367</v>
      </c>
      <c r="I20" s="109"/>
      <c r="J20" s="122">
        <v>17</v>
      </c>
      <c r="K20" s="123">
        <f t="shared" si="7"/>
        <v>3.9016963671013811</v>
      </c>
      <c r="L20" s="117">
        <f t="shared" si="8"/>
        <v>3.7385854174550186</v>
      </c>
      <c r="M20" s="103"/>
      <c r="N20" s="124">
        <f t="shared" si="4"/>
        <v>0.48571428571428571</v>
      </c>
      <c r="O20" s="124">
        <f t="shared" si="5"/>
        <v>0.35883638397362616</v>
      </c>
      <c r="P20" s="117">
        <f t="shared" si="6"/>
        <v>9.8238622834327834E-3</v>
      </c>
      <c r="X20" s="114">
        <f t="shared" si="0"/>
        <v>0.48571428571428571</v>
      </c>
      <c r="Y20" s="114">
        <f t="shared" si="1"/>
        <v>0.48571428571428571</v>
      </c>
      <c r="Z20" s="114">
        <f t="shared" si="2"/>
        <v>0.35883638397362616</v>
      </c>
      <c r="AA20" s="114">
        <f t="shared" si="3"/>
        <v>0.12687790174065955</v>
      </c>
    </row>
    <row r="21" spans="1:27" x14ac:dyDescent="0.25">
      <c r="A21" s="106" t="s">
        <v>61</v>
      </c>
      <c r="B21" s="107" t="s">
        <v>30</v>
      </c>
      <c r="C21" s="112">
        <v>0.58336840500000009</v>
      </c>
      <c r="D21" s="112">
        <v>0.42715464661997848</v>
      </c>
      <c r="E21" s="112">
        <v>0.33803070717100608</v>
      </c>
      <c r="F21" s="112">
        <v>0.55129633999999994</v>
      </c>
      <c r="G21" s="112">
        <v>0.76143040000000006</v>
      </c>
      <c r="H21" s="113">
        <v>0.52023995993832906</v>
      </c>
      <c r="I21" s="109"/>
      <c r="J21" s="122">
        <v>18</v>
      </c>
      <c r="K21" s="123">
        <f t="shared" si="7"/>
        <v>4.2368779258147962</v>
      </c>
      <c r="L21" s="117">
        <f t="shared" si="8"/>
        <v>4.0692871464580884</v>
      </c>
      <c r="M21" s="103"/>
      <c r="N21" s="124">
        <f t="shared" si="4"/>
        <v>0.51428571428571423</v>
      </c>
      <c r="O21" s="124">
        <f t="shared" si="5"/>
        <v>0.38966280591601826</v>
      </c>
      <c r="P21" s="117">
        <f t="shared" si="6"/>
        <v>1.0692845569852047E-2</v>
      </c>
      <c r="X21" s="114">
        <f t="shared" si="0"/>
        <v>0.51428571428571423</v>
      </c>
      <c r="Y21" s="114">
        <f t="shared" si="1"/>
        <v>0.51428571428571423</v>
      </c>
      <c r="Z21" s="114">
        <f t="shared" si="2"/>
        <v>0.38966280591601826</v>
      </c>
      <c r="AA21" s="114">
        <f t="shared" si="3"/>
        <v>0.12462290836969597</v>
      </c>
    </row>
    <row r="22" spans="1:27" x14ac:dyDescent="0.25">
      <c r="A22" s="106" t="s">
        <v>56</v>
      </c>
      <c r="B22" s="107" t="s">
        <v>24</v>
      </c>
      <c r="C22" s="112">
        <v>0.71719686999999999</v>
      </c>
      <c r="D22" s="112">
        <v>0.43259091447014619</v>
      </c>
      <c r="E22" s="112">
        <v>0.33874576788167188</v>
      </c>
      <c r="F22" s="112">
        <v>0.64271577999999996</v>
      </c>
      <c r="G22" s="112">
        <v>0.88886240000000005</v>
      </c>
      <c r="H22" s="113">
        <v>0.59469594032360695</v>
      </c>
      <c r="I22" s="109"/>
      <c r="J22" s="122">
        <v>19</v>
      </c>
      <c r="K22" s="123">
        <f t="shared" si="7"/>
        <v>4.5749086329858022</v>
      </c>
      <c r="L22" s="117">
        <f t="shared" si="8"/>
        <v>4.4058932794002992</v>
      </c>
      <c r="M22" s="103"/>
      <c r="N22" s="124">
        <f t="shared" si="4"/>
        <v>0.54285714285714282</v>
      </c>
      <c r="O22" s="124">
        <f t="shared" si="5"/>
        <v>0.42075126212087793</v>
      </c>
      <c r="P22" s="117">
        <f t="shared" si="6"/>
        <v>1.1577343829098521E-2</v>
      </c>
      <c r="X22" s="114">
        <f t="shared" si="0"/>
        <v>0.54285714285714282</v>
      </c>
      <c r="Y22" s="114">
        <f t="shared" si="1"/>
        <v>0.54285714285714282</v>
      </c>
      <c r="Z22" s="114">
        <f t="shared" si="2"/>
        <v>0.42075126212087793</v>
      </c>
      <c r="AA22" s="114">
        <f t="shared" si="3"/>
        <v>0.12210588073626488</v>
      </c>
    </row>
    <row r="23" spans="1:27" ht="17.25" customHeight="1" x14ac:dyDescent="0.25">
      <c r="A23" s="106" t="s">
        <v>79</v>
      </c>
      <c r="B23" s="107" t="s">
        <v>46</v>
      </c>
      <c r="C23" s="112">
        <v>0.50227591999999999</v>
      </c>
      <c r="D23" s="112">
        <v>0.18049262889513421</v>
      </c>
      <c r="E23" s="112">
        <v>0.33916643712932065</v>
      </c>
      <c r="F23" s="112">
        <v>0.4611922</v>
      </c>
      <c r="G23" s="112">
        <v>0.61328959999999999</v>
      </c>
      <c r="H23" s="113">
        <v>0.43902739724554296</v>
      </c>
      <c r="I23" s="109"/>
      <c r="J23" s="122">
        <v>20</v>
      </c>
      <c r="K23" s="123">
        <f t="shared" si="7"/>
        <v>4.9136544008674736</v>
      </c>
      <c r="L23" s="117">
        <f t="shared" si="8"/>
        <v>4.7442815169266375</v>
      </c>
      <c r="M23" s="103"/>
      <c r="N23" s="124">
        <f t="shared" si="4"/>
        <v>0.5714285714285714</v>
      </c>
      <c r="O23" s="124">
        <f t="shared" si="5"/>
        <v>0.45190548197713309</v>
      </c>
      <c r="P23" s="117">
        <f t="shared" si="6"/>
        <v>1.2466524915685877E-2</v>
      </c>
      <c r="X23" s="114">
        <f t="shared" si="0"/>
        <v>0.5714285714285714</v>
      </c>
      <c r="Y23" s="114">
        <f t="shared" si="1"/>
        <v>0.5714285714285714</v>
      </c>
      <c r="Z23" s="114">
        <f t="shared" si="2"/>
        <v>0.45190548197713309</v>
      </c>
      <c r="AA23" s="114">
        <f t="shared" si="3"/>
        <v>0.1195230894514383</v>
      </c>
    </row>
    <row r="24" spans="1:27" x14ac:dyDescent="0.25">
      <c r="A24" s="106" t="s">
        <v>81</v>
      </c>
      <c r="B24" s="107" t="s">
        <v>48</v>
      </c>
      <c r="C24" s="112">
        <v>0.34889432500000006</v>
      </c>
      <c r="D24" s="112">
        <v>7.2632559999999999E-2</v>
      </c>
      <c r="E24" s="112">
        <v>0.33991763409987819</v>
      </c>
      <c r="F24" s="112">
        <v>0.28355032000000002</v>
      </c>
      <c r="G24" s="112">
        <v>0.40665452475811037</v>
      </c>
      <c r="H24" s="113">
        <v>0.31665819618426616</v>
      </c>
      <c r="I24" s="109"/>
      <c r="J24" s="122">
        <v>21</v>
      </c>
      <c r="K24" s="123">
        <f t="shared" si="7"/>
        <v>5.2528208379967944</v>
      </c>
      <c r="L24" s="117">
        <f t="shared" si="8"/>
        <v>5.0832376194321345</v>
      </c>
      <c r="M24" s="103"/>
      <c r="N24" s="124">
        <f t="shared" si="4"/>
        <v>0.6</v>
      </c>
      <c r="O24" s="124">
        <f t="shared" si="5"/>
        <v>0.48309839050043779</v>
      </c>
      <c r="P24" s="117">
        <f t="shared" si="6"/>
        <v>1.3357198178251017E-2</v>
      </c>
      <c r="X24" s="114">
        <f t="shared" si="0"/>
        <v>0.6</v>
      </c>
      <c r="Y24" s="114">
        <f t="shared" si="1"/>
        <v>0.6</v>
      </c>
      <c r="Z24" s="114">
        <f t="shared" si="2"/>
        <v>0.48309839050043779</v>
      </c>
      <c r="AA24" s="114">
        <f t="shared" si="3"/>
        <v>0.11690160949956219</v>
      </c>
    </row>
    <row r="25" spans="1:27" x14ac:dyDescent="0.25">
      <c r="A25" s="106" t="s">
        <v>80</v>
      </c>
      <c r="B25" s="107" t="s">
        <v>47</v>
      </c>
      <c r="C25" s="112">
        <v>0.27657685500000001</v>
      </c>
      <c r="D25" s="112">
        <v>0.12385713243684683</v>
      </c>
      <c r="E25" s="112">
        <v>0.35827352991391431</v>
      </c>
      <c r="F25" s="112">
        <v>0.47493014</v>
      </c>
      <c r="G25" s="112">
        <v>0.48520489470688671</v>
      </c>
      <c r="H25" s="113">
        <v>0.37962500398158189</v>
      </c>
      <c r="I25" s="109"/>
      <c r="J25" s="122">
        <v>22</v>
      </c>
      <c r="K25" s="123">
        <f t="shared" si="7"/>
        <v>5.5927384720966726</v>
      </c>
      <c r="L25" s="117">
        <f t="shared" si="8"/>
        <v>5.4227796550467335</v>
      </c>
      <c r="M25" s="103"/>
      <c r="N25" s="124">
        <f t="shared" si="4"/>
        <v>0.62857142857142856</v>
      </c>
      <c r="O25" s="124">
        <f t="shared" si="5"/>
        <v>0.51436038610259349</v>
      </c>
      <c r="P25" s="117">
        <f t="shared" si="6"/>
        <v>1.4249411094329024E-2</v>
      </c>
      <c r="X25" s="114">
        <f t="shared" si="0"/>
        <v>0.62857142857142856</v>
      </c>
      <c r="Y25" s="114">
        <f t="shared" si="1"/>
        <v>0.62857142857142856</v>
      </c>
      <c r="Z25" s="114">
        <f t="shared" si="2"/>
        <v>0.51436038610259349</v>
      </c>
      <c r="AA25" s="114">
        <f t="shared" si="3"/>
        <v>0.11421104246883507</v>
      </c>
    </row>
    <row r="26" spans="1:27" x14ac:dyDescent="0.25">
      <c r="A26" s="106" t="s">
        <v>74</v>
      </c>
      <c r="B26" s="107" t="s">
        <v>43</v>
      </c>
      <c r="C26" s="112">
        <v>0.63674856000000002</v>
      </c>
      <c r="D26" s="112">
        <v>0.2788653323180233</v>
      </c>
      <c r="E26" s="112">
        <v>0.35858799764312016</v>
      </c>
      <c r="F26" s="112">
        <v>0.40412833999999997</v>
      </c>
      <c r="G26" s="112">
        <v>0.49664640000000004</v>
      </c>
      <c r="H26" s="113">
        <v>0.44487794887079002</v>
      </c>
      <c r="I26" s="109"/>
      <c r="J26" s="122">
        <v>23</v>
      </c>
      <c r="K26" s="123">
        <f t="shared" si="7"/>
        <v>5.9510120020105868</v>
      </c>
      <c r="L26" s="117">
        <f t="shared" si="8"/>
        <v>5.7718752370536297</v>
      </c>
      <c r="M26" s="103"/>
      <c r="N26" s="124">
        <f t="shared" si="4"/>
        <v>0.65714285714285714</v>
      </c>
      <c r="O26" s="124">
        <f t="shared" si="5"/>
        <v>0.54731056106540998</v>
      </c>
      <c r="P26" s="117">
        <f t="shared" si="6"/>
        <v>1.5166727816685769E-2</v>
      </c>
      <c r="X26" s="114">
        <f t="shared" si="0"/>
        <v>0.65714285714285714</v>
      </c>
      <c r="Y26" s="114">
        <f t="shared" si="1"/>
        <v>0.65714285714285714</v>
      </c>
      <c r="Z26" s="114">
        <f t="shared" si="2"/>
        <v>0.54731056106540998</v>
      </c>
      <c r="AA26" s="114">
        <f t="shared" si="3"/>
        <v>0.10983229607744716</v>
      </c>
    </row>
    <row r="27" spans="1:27" x14ac:dyDescent="0.25">
      <c r="A27" s="106" t="s">
        <v>57</v>
      </c>
      <c r="B27" s="107" t="s">
        <v>25</v>
      </c>
      <c r="C27" s="112">
        <v>0.64761148499999999</v>
      </c>
      <c r="D27" s="112">
        <v>0.56523878880686684</v>
      </c>
      <c r="E27" s="112">
        <v>0.36124299881999994</v>
      </c>
      <c r="F27" s="112">
        <v>0.45037382000000004</v>
      </c>
      <c r="G27" s="112">
        <v>0.79489960000000004</v>
      </c>
      <c r="H27" s="113">
        <v>0.52306134183949382</v>
      </c>
      <c r="I27" s="109"/>
      <c r="J27" s="122">
        <v>24</v>
      </c>
      <c r="K27" s="123">
        <f t="shared" si="7"/>
        <v>6.3095999996537069</v>
      </c>
      <c r="L27" s="117">
        <f t="shared" si="8"/>
        <v>6.1303060008321468</v>
      </c>
      <c r="M27" s="103"/>
      <c r="N27" s="124">
        <f t="shared" si="4"/>
        <v>0.68571428571428572</v>
      </c>
      <c r="O27" s="124">
        <f t="shared" si="5"/>
        <v>0.58028965741323624</v>
      </c>
      <c r="P27" s="117">
        <f t="shared" si="6"/>
        <v>1.610857454969495E-2</v>
      </c>
      <c r="X27" s="114">
        <f t="shared" si="0"/>
        <v>0.68571428571428572</v>
      </c>
      <c r="Y27" s="114">
        <f t="shared" si="1"/>
        <v>0.68571428571428572</v>
      </c>
      <c r="Z27" s="114">
        <f t="shared" si="2"/>
        <v>0.58028965741323624</v>
      </c>
      <c r="AA27" s="114">
        <f t="shared" si="3"/>
        <v>0.10542462830104948</v>
      </c>
    </row>
    <row r="28" spans="1:27" x14ac:dyDescent="0.25">
      <c r="A28" s="106" t="s">
        <v>171</v>
      </c>
      <c r="B28" s="107" t="s">
        <v>28</v>
      </c>
      <c r="C28" s="112">
        <v>0.66450627000000007</v>
      </c>
      <c r="D28" s="112">
        <v>0.38792094466935201</v>
      </c>
      <c r="E28" s="112">
        <v>0.36472279992584322</v>
      </c>
      <c r="F28" s="112">
        <v>0.47654293999999997</v>
      </c>
      <c r="G28" s="112">
        <v>0.63217120000000004</v>
      </c>
      <c r="H28" s="113">
        <v>0.50084835873235634</v>
      </c>
      <c r="I28" s="109"/>
      <c r="J28" s="122">
        <v>25</v>
      </c>
      <c r="K28" s="123">
        <f t="shared" si="7"/>
        <v>6.6708429984737068</v>
      </c>
      <c r="L28" s="117">
        <f t="shared" si="8"/>
        <v>6.4902214990637068</v>
      </c>
      <c r="M28" s="103"/>
      <c r="N28" s="124">
        <f t="shared" si="4"/>
        <v>0.7142857142857143</v>
      </c>
      <c r="O28" s="124">
        <f t="shared" si="5"/>
        <v>0.61351293242903648</v>
      </c>
      <c r="P28" s="117">
        <f t="shared" si="6"/>
        <v>1.7054322712032471E-2</v>
      </c>
      <c r="X28" s="114">
        <f t="shared" si="0"/>
        <v>0.7142857142857143</v>
      </c>
      <c r="Y28" s="114">
        <f t="shared" si="1"/>
        <v>0.7142857142857143</v>
      </c>
      <c r="Z28" s="114">
        <f t="shared" si="2"/>
        <v>0.61351293242903648</v>
      </c>
      <c r="AA28" s="114">
        <f t="shared" si="3"/>
        <v>0.10077278185667782</v>
      </c>
    </row>
    <row r="29" spans="1:27" x14ac:dyDescent="0.25">
      <c r="A29" s="106" t="s">
        <v>59</v>
      </c>
      <c r="B29" s="107" t="s">
        <v>27</v>
      </c>
      <c r="C29" s="112">
        <v>0.66246691000000002</v>
      </c>
      <c r="D29" s="112">
        <v>0.31718616189744087</v>
      </c>
      <c r="E29" s="112">
        <v>0.36551260596193563</v>
      </c>
      <c r="F29" s="112">
        <v>0.51571212</v>
      </c>
      <c r="G29" s="112">
        <v>0.79456000000000016</v>
      </c>
      <c r="H29" s="113">
        <v>0.53107689983453266</v>
      </c>
      <c r="I29" s="109"/>
      <c r="J29" s="122">
        <v>26</v>
      </c>
      <c r="K29" s="123">
        <f t="shared" si="7"/>
        <v>7.0355657983995501</v>
      </c>
      <c r="L29" s="117">
        <f t="shared" si="8"/>
        <v>6.8532043984366284</v>
      </c>
      <c r="M29" s="103"/>
      <c r="N29" s="124">
        <f t="shared" si="4"/>
        <v>0.74285714285714288</v>
      </c>
      <c r="O29" s="124">
        <f t="shared" si="5"/>
        <v>0.64705624240611581</v>
      </c>
      <c r="P29" s="117">
        <f t="shared" si="6"/>
        <v>1.8008131069073612E-2</v>
      </c>
      <c r="X29" s="114">
        <f t="shared" si="0"/>
        <v>0.74285714285714288</v>
      </c>
      <c r="Y29" s="114">
        <f t="shared" si="1"/>
        <v>0.74285714285714288</v>
      </c>
      <c r="Z29" s="114">
        <f t="shared" si="2"/>
        <v>0.64705624240611581</v>
      </c>
      <c r="AA29" s="114">
        <f t="shared" si="3"/>
        <v>9.5800900451027071E-2</v>
      </c>
    </row>
    <row r="30" spans="1:27" x14ac:dyDescent="0.25">
      <c r="A30" s="106" t="s">
        <v>50</v>
      </c>
      <c r="B30" s="107" t="s">
        <v>18</v>
      </c>
      <c r="C30" s="112">
        <v>0.69403934</v>
      </c>
      <c r="D30" s="112">
        <v>0.23468653179393315</v>
      </c>
      <c r="E30" s="112">
        <v>0.36578880114193152</v>
      </c>
      <c r="F30" s="112">
        <v>0.71006698000000001</v>
      </c>
      <c r="G30" s="112">
        <v>0.8177388000000001</v>
      </c>
      <c r="H30" s="113">
        <v>0.59496552500922861</v>
      </c>
      <c r="I30" s="109"/>
      <c r="J30" s="122">
        <v>27</v>
      </c>
      <c r="K30" s="123">
        <f t="shared" si="7"/>
        <v>7.4010784043614857</v>
      </c>
      <c r="L30" s="117">
        <f t="shared" si="8"/>
        <v>7.2183221013805179</v>
      </c>
      <c r="M30" s="103"/>
      <c r="N30" s="124">
        <f t="shared" si="4"/>
        <v>0.77142857142857146</v>
      </c>
      <c r="O30" s="124">
        <f t="shared" si="5"/>
        <v>0.6806721903117694</v>
      </c>
      <c r="P30" s="117">
        <f t="shared" si="6"/>
        <v>1.8967549038826935E-2</v>
      </c>
      <c r="X30" s="114">
        <f t="shared" si="0"/>
        <v>0.77142857142857146</v>
      </c>
      <c r="Y30" s="114">
        <f t="shared" si="1"/>
        <v>0.77142857142857146</v>
      </c>
      <c r="Z30" s="114">
        <f t="shared" si="2"/>
        <v>0.6806721903117694</v>
      </c>
      <c r="AA30" s="114">
        <f t="shared" si="3"/>
        <v>9.0756381116802065E-2</v>
      </c>
    </row>
    <row r="31" spans="1:27" ht="30" x14ac:dyDescent="0.25">
      <c r="A31" s="106" t="s">
        <v>75</v>
      </c>
      <c r="B31" s="107" t="s">
        <v>96</v>
      </c>
      <c r="C31" s="112">
        <v>0.36000341999999996</v>
      </c>
      <c r="D31" s="112">
        <v>0.2155323159086025</v>
      </c>
      <c r="E31" s="112">
        <v>0.38374293766269163</v>
      </c>
      <c r="F31" s="112">
        <v>0.40998915999999996</v>
      </c>
      <c r="G31" s="112">
        <v>0.6763344</v>
      </c>
      <c r="H31" s="113">
        <v>0.41744644389701502</v>
      </c>
      <c r="I31" s="109"/>
      <c r="J31" s="122">
        <v>28</v>
      </c>
      <c r="K31" s="123">
        <f t="shared" si="7"/>
        <v>7.7668672055034174</v>
      </c>
      <c r="L31" s="117">
        <f t="shared" si="8"/>
        <v>7.5839728049324515</v>
      </c>
      <c r="M31" s="103"/>
      <c r="N31" s="124">
        <f t="shared" si="4"/>
        <v>0.8</v>
      </c>
      <c r="O31" s="124">
        <f t="shared" si="5"/>
        <v>0.71431353970188916</v>
      </c>
      <c r="P31" s="117">
        <f t="shared" si="6"/>
        <v>1.9928367571623699E-2</v>
      </c>
      <c r="X31" s="114">
        <f t="shared" si="0"/>
        <v>0.8</v>
      </c>
      <c r="Y31" s="114">
        <f t="shared" si="1"/>
        <v>0.8</v>
      </c>
      <c r="Z31" s="114">
        <f t="shared" si="2"/>
        <v>0.71431353970188916</v>
      </c>
      <c r="AA31" s="114">
        <f t="shared" si="3"/>
        <v>8.5686460298110889E-2</v>
      </c>
    </row>
    <row r="32" spans="1:27" x14ac:dyDescent="0.25">
      <c r="A32" s="106" t="s">
        <v>58</v>
      </c>
      <c r="B32" s="107" t="s">
        <v>26</v>
      </c>
      <c r="C32" s="112">
        <v>0.70440694500000012</v>
      </c>
      <c r="D32" s="112">
        <v>0.36417864</v>
      </c>
      <c r="E32" s="112">
        <v>0.38466852000000001</v>
      </c>
      <c r="F32" s="112">
        <v>0.52614430000000001</v>
      </c>
      <c r="G32" s="112">
        <v>0.92273360000000004</v>
      </c>
      <c r="H32" s="113">
        <v>0.5696317692670001</v>
      </c>
      <c r="I32" s="109"/>
      <c r="J32" s="122">
        <v>29</v>
      </c>
      <c r="K32" s="123">
        <f t="shared" si="7"/>
        <v>8.1506101431661087</v>
      </c>
      <c r="L32" s="117">
        <f t="shared" si="8"/>
        <v>7.9587386743347626</v>
      </c>
      <c r="M32" s="103"/>
      <c r="N32" s="124">
        <f t="shared" si="4"/>
        <v>0.82857142857142863</v>
      </c>
      <c r="O32" s="124">
        <f t="shared" si="5"/>
        <v>0.74960611892137274</v>
      </c>
      <c r="P32" s="117">
        <f t="shared" si="6"/>
        <v>2.0913137980332321E-2</v>
      </c>
      <c r="X32" s="114">
        <f t="shared" si="0"/>
        <v>0.82857142857142863</v>
      </c>
      <c r="Y32" s="114">
        <f t="shared" si="1"/>
        <v>0.82857142857142863</v>
      </c>
      <c r="Z32" s="114">
        <f t="shared" si="2"/>
        <v>0.74960611892137274</v>
      </c>
      <c r="AA32" s="114">
        <f t="shared" si="3"/>
        <v>7.8965309650055882E-2</v>
      </c>
    </row>
    <row r="33" spans="1:27" x14ac:dyDescent="0.25">
      <c r="A33" s="106" t="s">
        <v>67</v>
      </c>
      <c r="B33" s="107" t="s">
        <v>36</v>
      </c>
      <c r="C33" s="112">
        <v>0.75883447500000001</v>
      </c>
      <c r="D33" s="112">
        <v>0.5007369710748546</v>
      </c>
      <c r="E33" s="112">
        <v>0.42085535686958664</v>
      </c>
      <c r="F33" s="112">
        <v>0.39645452000000003</v>
      </c>
      <c r="G33" s="112">
        <v>0.80132440000000005</v>
      </c>
      <c r="H33" s="113">
        <v>0.54313021306127651</v>
      </c>
      <c r="I33" s="109"/>
      <c r="J33" s="122">
        <v>30</v>
      </c>
      <c r="K33" s="123">
        <f t="shared" si="7"/>
        <v>8.5352786631661086</v>
      </c>
      <c r="L33" s="117">
        <f t="shared" si="8"/>
        <v>8.3429444031661077</v>
      </c>
      <c r="M33" s="103"/>
      <c r="N33" s="124">
        <f t="shared" si="4"/>
        <v>0.8571428571428571</v>
      </c>
      <c r="O33" s="124">
        <f t="shared" si="5"/>
        <v>0.78498382332429961</v>
      </c>
      <c r="P33" s="117">
        <f t="shared" si="6"/>
        <v>2.1922713460652384E-2</v>
      </c>
      <c r="X33" s="114">
        <f t="shared" si="0"/>
        <v>0.8571428571428571</v>
      </c>
      <c r="Y33" s="114">
        <f t="shared" si="1"/>
        <v>0.8571428571428571</v>
      </c>
      <c r="Z33" s="114">
        <f t="shared" si="2"/>
        <v>0.78498382332429961</v>
      </c>
      <c r="AA33" s="114">
        <f t="shared" si="3"/>
        <v>7.2159033818557483E-2</v>
      </c>
    </row>
    <row r="34" spans="1:27" x14ac:dyDescent="0.25">
      <c r="A34" s="106" t="s">
        <v>55</v>
      </c>
      <c r="B34" s="107" t="s">
        <v>23</v>
      </c>
      <c r="C34" s="112">
        <v>0.62265356000000005</v>
      </c>
      <c r="D34" s="112">
        <v>0.59150555506206037</v>
      </c>
      <c r="E34" s="112">
        <v>0.43180370663506984</v>
      </c>
      <c r="F34" s="112">
        <v>0.46840176</v>
      </c>
      <c r="G34" s="112">
        <v>0.83708879999999997</v>
      </c>
      <c r="H34" s="113">
        <v>0.55076778302622453</v>
      </c>
      <c r="I34" s="109"/>
      <c r="J34" s="122">
        <v>31</v>
      </c>
      <c r="K34" s="123">
        <f t="shared" si="7"/>
        <v>8.9561340200356945</v>
      </c>
      <c r="L34" s="117">
        <f t="shared" si="8"/>
        <v>8.7457063416009007</v>
      </c>
      <c r="M34" s="103"/>
      <c r="N34" s="124">
        <f t="shared" si="4"/>
        <v>0.88571428571428568</v>
      </c>
      <c r="O34" s="124">
        <f t="shared" si="5"/>
        <v>0.8236896067133862</v>
      </c>
      <c r="P34" s="117">
        <f t="shared" si="6"/>
        <v>2.2981049000538378E-2</v>
      </c>
      <c r="X34" s="114">
        <f t="shared" si="0"/>
        <v>0.88571428571428568</v>
      </c>
      <c r="Y34" s="114">
        <f t="shared" si="1"/>
        <v>0.88571428571428568</v>
      </c>
      <c r="Z34" s="114">
        <f t="shared" si="2"/>
        <v>0.8236896067133862</v>
      </c>
      <c r="AA34" s="114">
        <f t="shared" si="3"/>
        <v>6.2024679000899474E-2</v>
      </c>
    </row>
    <row r="35" spans="1:27" ht="30" x14ac:dyDescent="0.25">
      <c r="A35" s="106" t="s">
        <v>71</v>
      </c>
      <c r="B35" s="107" t="s">
        <v>40</v>
      </c>
      <c r="C35" s="112">
        <v>0.44021503499999998</v>
      </c>
      <c r="D35" s="112">
        <v>0.13927330418277856</v>
      </c>
      <c r="E35" s="112">
        <v>0.4816753598058332</v>
      </c>
      <c r="F35" s="112">
        <v>0.46097591999999998</v>
      </c>
      <c r="G35" s="112">
        <v>0.5439676</v>
      </c>
      <c r="H35" s="113">
        <v>0.453265424255754</v>
      </c>
      <c r="I35" s="109"/>
      <c r="J35" s="122">
        <v>32</v>
      </c>
      <c r="K35" s="123">
        <f t="shared" si="7"/>
        <v>9.3879377266707635</v>
      </c>
      <c r="L35" s="117">
        <f t="shared" si="8"/>
        <v>9.172035873353229</v>
      </c>
      <c r="M35" s="103"/>
      <c r="N35" s="124">
        <f t="shared" si="4"/>
        <v>0.91428571428571426</v>
      </c>
      <c r="O35" s="124">
        <f t="shared" si="5"/>
        <v>0.86340230244794658</v>
      </c>
      <c r="P35" s="117">
        <f t="shared" si="6"/>
        <v>2.4101312988019048E-2</v>
      </c>
      <c r="X35" s="114">
        <f t="shared" si="0"/>
        <v>0.91428571428571426</v>
      </c>
      <c r="Y35" s="114">
        <f t="shared" si="1"/>
        <v>0.91428571428571426</v>
      </c>
      <c r="Z35" s="114">
        <f t="shared" si="2"/>
        <v>0.86340230244794658</v>
      </c>
      <c r="AA35" s="114">
        <f t="shared" si="3"/>
        <v>5.0883411837767678E-2</v>
      </c>
    </row>
    <row r="36" spans="1:27" x14ac:dyDescent="0.25">
      <c r="A36" s="106" t="s">
        <v>66</v>
      </c>
      <c r="B36" s="107" t="s">
        <v>35</v>
      </c>
      <c r="C36" s="112">
        <v>0.82751446499999992</v>
      </c>
      <c r="D36" s="112">
        <v>0.83433416000000005</v>
      </c>
      <c r="E36" s="112">
        <v>0.4986556296843897</v>
      </c>
      <c r="F36" s="112">
        <v>0.53861495999999998</v>
      </c>
      <c r="G36" s="112">
        <v>0.82978040000000008</v>
      </c>
      <c r="H36" s="113">
        <v>0.64832357791530681</v>
      </c>
      <c r="I36" s="109"/>
      <c r="J36" s="122">
        <v>33</v>
      </c>
      <c r="K36" s="123">
        <f t="shared" si="7"/>
        <v>9.8696130864765976</v>
      </c>
      <c r="L36" s="117">
        <f t="shared" si="8"/>
        <v>9.6287754065736806</v>
      </c>
      <c r="M36" s="103"/>
      <c r="N36" s="124">
        <f t="shared" si="4"/>
        <v>0.94285714285714284</v>
      </c>
      <c r="O36" s="124">
        <f t="shared" si="5"/>
        <v>0.90770166049623258</v>
      </c>
      <c r="P36" s="117">
        <f t="shared" si="6"/>
        <v>2.5301485184916855E-2</v>
      </c>
      <c r="X36" s="114">
        <f t="shared" si="0"/>
        <v>0.94285714285714284</v>
      </c>
      <c r="Y36" s="114">
        <f t="shared" si="1"/>
        <v>0.94285714285714284</v>
      </c>
      <c r="Z36" s="114">
        <f t="shared" si="2"/>
        <v>0.90770166049623258</v>
      </c>
      <c r="AA36" s="114">
        <f t="shared" si="3"/>
        <v>3.5155482360910262E-2</v>
      </c>
    </row>
    <row r="37" spans="1:27" x14ac:dyDescent="0.25">
      <c r="A37" s="106" t="s">
        <v>69</v>
      </c>
      <c r="B37" s="107" t="s">
        <v>38</v>
      </c>
      <c r="C37" s="112">
        <v>0.56374321500000002</v>
      </c>
      <c r="D37" s="112">
        <v>0.26198498977661355</v>
      </c>
      <c r="E37" s="112">
        <v>0.50492180007202925</v>
      </c>
      <c r="F37" s="112">
        <v>0.393015</v>
      </c>
      <c r="G37" s="112">
        <v>0.87976279999999996</v>
      </c>
      <c r="H37" s="113">
        <v>0.52049124365134891</v>
      </c>
      <c r="I37" s="109"/>
      <c r="J37" s="122">
        <v>34</v>
      </c>
      <c r="K37" s="123">
        <f t="shared" si="7"/>
        <v>10.368268716160987</v>
      </c>
      <c r="L37" s="117">
        <f t="shared" si="8"/>
        <v>10.118940901318792</v>
      </c>
      <c r="M37" s="103"/>
      <c r="N37" s="124">
        <f t="shared" si="4"/>
        <v>0.97142857142857142</v>
      </c>
      <c r="O37" s="124">
        <f t="shared" si="5"/>
        <v>0.95356268251547582</v>
      </c>
      <c r="P37" s="117">
        <f t="shared" si="6"/>
        <v>2.6589490614452985E-2</v>
      </c>
      <c r="X37" s="114">
        <f t="shared" si="0"/>
        <v>0.97142857142857142</v>
      </c>
      <c r="Y37" s="114">
        <f t="shared" si="1"/>
        <v>0.97142857142857142</v>
      </c>
      <c r="Z37" s="114">
        <f t="shared" si="2"/>
        <v>0.95356268251547582</v>
      </c>
      <c r="AA37" s="114">
        <f t="shared" si="3"/>
        <v>1.7865888913095596E-2</v>
      </c>
    </row>
    <row r="38" spans="1:27" x14ac:dyDescent="0.25">
      <c r="J38" s="122">
        <v>35</v>
      </c>
      <c r="K38" s="123">
        <f t="shared" si="7"/>
        <v>10.873190516233016</v>
      </c>
      <c r="L38" s="117">
        <f t="shared" si="8"/>
        <v>10.620729616197002</v>
      </c>
      <c r="M38" s="103"/>
      <c r="N38" s="124">
        <f t="shared" si="4"/>
        <v>1</v>
      </c>
      <c r="O38" s="124">
        <f t="shared" si="5"/>
        <v>1</v>
      </c>
      <c r="P38" s="117">
        <f t="shared" si="6"/>
        <v>2.7908038321649665E-2</v>
      </c>
      <c r="X38" s="114">
        <f t="shared" si="0"/>
        <v>1</v>
      </c>
      <c r="Y38" s="114">
        <f t="shared" si="1"/>
        <v>1</v>
      </c>
      <c r="Z38" s="114">
        <f t="shared" si="2"/>
        <v>1</v>
      </c>
      <c r="AA38" s="114">
        <f t="shared" si="3"/>
        <v>0</v>
      </c>
    </row>
    <row r="39" spans="1:27" x14ac:dyDescent="0.25">
      <c r="L39" s="117">
        <f>SUM(L4:L38)</f>
        <v>155.83563975409658</v>
      </c>
      <c r="P39" s="117">
        <f>SUM(P4:P38)</f>
        <v>0.40948853452625622</v>
      </c>
    </row>
    <row r="41" spans="1:27" x14ac:dyDescent="0.25">
      <c r="K41" s="115" t="s">
        <v>162</v>
      </c>
      <c r="L41" s="115">
        <f>1-(L39/(J38*K38/2))</f>
        <v>0.18102293094748767</v>
      </c>
      <c r="O41" s="115" t="s">
        <v>162</v>
      </c>
      <c r="P41" s="115">
        <f>1-P39/0.5</f>
        <v>0.18102293094748756</v>
      </c>
      <c r="Q41" s="126"/>
    </row>
    <row r="43" spans="1:27" x14ac:dyDescent="0.25">
      <c r="K43" t="s">
        <v>165</v>
      </c>
      <c r="L43">
        <f>(J38*K38/2)-L39</f>
        <v>34.445194279981223</v>
      </c>
    </row>
    <row r="44" spans="1:27" x14ac:dyDescent="0.25">
      <c r="L44">
        <f>L43/(J38*K38/2)</f>
        <v>0.18102293094748764</v>
      </c>
    </row>
    <row r="46" spans="1:27" x14ac:dyDescent="0.25">
      <c r="L46">
        <f>L43/(J38*K38/2)</f>
        <v>0.18102293094748764</v>
      </c>
    </row>
  </sheetData>
  <autoFilter ref="A2:H2" xr:uid="{9C6E2AFD-5DB2-4E78-BEC8-FAAC984501F1}">
    <filterColumn colId="0" showButton="0"/>
    <sortState xmlns:xlrd2="http://schemas.microsoft.com/office/spreadsheetml/2017/richdata2" ref="A3:H37">
      <sortCondition ref="E2"/>
    </sortState>
  </autoFilter>
  <mergeCells count="1">
    <mergeCell ref="A2:B2"/>
  </mergeCells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2A9FF-2974-45D9-84C5-D6590A471FEA}">
  <dimension ref="A2:AD46"/>
  <sheetViews>
    <sheetView workbookViewId="0">
      <selection activeCell="B6" sqref="B6"/>
    </sheetView>
  </sheetViews>
  <sheetFormatPr defaultRowHeight="15" x14ac:dyDescent="0.25"/>
  <cols>
    <col min="1" max="1" width="14.28515625" customWidth="1"/>
    <col min="2" max="2" width="16.7109375" customWidth="1"/>
    <col min="3" max="3" width="16.42578125" bestFit="1" customWidth="1"/>
    <col min="4" max="4" width="12.7109375" bestFit="1" customWidth="1"/>
    <col min="5" max="5" width="18" bestFit="1" customWidth="1"/>
    <col min="6" max="6" width="21.7109375" bestFit="1" customWidth="1"/>
    <col min="7" max="7" width="19.7109375" bestFit="1" customWidth="1"/>
    <col min="8" max="8" width="8.85546875" customWidth="1"/>
    <col min="9" max="10" width="8.85546875" style="108" customWidth="1"/>
    <col min="11" max="11" width="15.5703125" customWidth="1"/>
    <col min="12" max="12" width="17.140625" customWidth="1"/>
    <col min="13" max="14" width="15.5703125" customWidth="1"/>
    <col min="15" max="15" width="16.7109375" customWidth="1"/>
    <col min="16" max="17" width="17.85546875" customWidth="1"/>
    <col min="18" max="18" width="14.28515625" customWidth="1"/>
    <col min="19" max="19" width="19.28515625" customWidth="1"/>
    <col min="20" max="39" width="14.28515625" customWidth="1"/>
    <col min="40" max="40" width="10.7109375" bestFit="1" customWidth="1"/>
  </cols>
  <sheetData>
    <row r="2" spans="1:30" x14ac:dyDescent="0.25">
      <c r="A2" s="130" t="s">
        <v>158</v>
      </c>
      <c r="B2" s="130"/>
      <c r="C2" s="2" t="s">
        <v>1</v>
      </c>
      <c r="D2" s="2" t="s">
        <v>6</v>
      </c>
      <c r="E2" s="2" t="s">
        <v>149</v>
      </c>
      <c r="F2" s="2" t="s">
        <v>10</v>
      </c>
      <c r="G2" s="2" t="s">
        <v>150</v>
      </c>
      <c r="H2" s="111" t="s">
        <v>157</v>
      </c>
      <c r="J2" s="119"/>
      <c r="K2" s="120" t="s">
        <v>160</v>
      </c>
      <c r="L2" s="125" t="s">
        <v>163</v>
      </c>
      <c r="N2" s="119"/>
      <c r="O2" s="120" t="s">
        <v>170</v>
      </c>
      <c r="P2" s="125" t="s">
        <v>163</v>
      </c>
      <c r="Q2" s="126"/>
      <c r="R2" s="118"/>
      <c r="S2" s="118" t="s">
        <v>159</v>
      </c>
      <c r="X2" s="126" t="s">
        <v>166</v>
      </c>
      <c r="Y2" s="126" t="s">
        <v>167</v>
      </c>
      <c r="Z2" s="126" t="s">
        <v>168</v>
      </c>
      <c r="AA2" s="126" t="s">
        <v>169</v>
      </c>
      <c r="AC2" s="126"/>
      <c r="AD2" s="126"/>
    </row>
    <row r="3" spans="1:30" x14ac:dyDescent="0.25">
      <c r="A3" s="106" t="s">
        <v>73</v>
      </c>
      <c r="B3" s="107" t="s">
        <v>42</v>
      </c>
      <c r="C3" s="112">
        <v>0.67786735499999995</v>
      </c>
      <c r="D3" s="112">
        <v>0.32567025708735281</v>
      </c>
      <c r="E3" s="112">
        <v>0.11852621501729108</v>
      </c>
      <c r="F3" s="112">
        <v>0.26207216</v>
      </c>
      <c r="G3" s="112">
        <v>0.65295520000000007</v>
      </c>
      <c r="H3" s="113">
        <v>0.36836050530003817</v>
      </c>
      <c r="I3" s="109"/>
      <c r="J3" s="119">
        <v>0</v>
      </c>
      <c r="K3" s="121">
        <v>0</v>
      </c>
      <c r="L3" s="117" t="s">
        <v>164</v>
      </c>
      <c r="N3" s="124">
        <f>J3/$J$38</f>
        <v>0</v>
      </c>
      <c r="O3" s="124">
        <f>K3/$K$38</f>
        <v>0</v>
      </c>
      <c r="P3" s="125" t="s">
        <v>164</v>
      </c>
      <c r="Q3" s="126"/>
      <c r="R3" s="118">
        <v>0</v>
      </c>
      <c r="S3" s="118">
        <v>0</v>
      </c>
      <c r="X3" s="114">
        <f t="shared" ref="X3:X38" si="0">N3</f>
        <v>0</v>
      </c>
      <c r="Y3" s="114">
        <f t="shared" ref="Y3:Y38" si="1">N3</f>
        <v>0</v>
      </c>
      <c r="Z3" s="114">
        <f t="shared" ref="Z3:Z38" si="2">O3</f>
        <v>0</v>
      </c>
      <c r="AA3" s="114">
        <f t="shared" ref="AA3:AA38" si="3">N3-O3</f>
        <v>0</v>
      </c>
    </row>
    <row r="4" spans="1:30" x14ac:dyDescent="0.25">
      <c r="A4" s="106" t="s">
        <v>81</v>
      </c>
      <c r="B4" s="107" t="s">
        <v>48</v>
      </c>
      <c r="C4" s="112">
        <v>0.34889432500000006</v>
      </c>
      <c r="D4" s="112">
        <v>7.2632559999999999E-2</v>
      </c>
      <c r="E4" s="112">
        <v>0.33991763409987819</v>
      </c>
      <c r="F4" s="112">
        <v>0.28355032000000002</v>
      </c>
      <c r="G4" s="112">
        <v>0.40665452475811037</v>
      </c>
      <c r="H4" s="113">
        <v>0.31665819618426616</v>
      </c>
      <c r="I4" s="109"/>
      <c r="J4" s="122">
        <v>1</v>
      </c>
      <c r="K4" s="123">
        <f>F3</f>
        <v>0.26207216</v>
      </c>
      <c r="L4" s="117">
        <f>(K4+K3)/2*(J4-J3)</f>
        <v>0.13103608</v>
      </c>
      <c r="M4" s="103"/>
      <c r="N4" s="124">
        <f t="shared" ref="N4:N38" si="4">J4/$J$38</f>
        <v>2.8571428571428571E-2</v>
      </c>
      <c r="O4" s="124">
        <f t="shared" ref="O4:O38" si="5">K4/$K$38</f>
        <v>1.5039995872784135E-2</v>
      </c>
      <c r="P4" s="117">
        <f>(O4+O3)/2*(N4-N3)</f>
        <v>2.1485708389691621E-4</v>
      </c>
      <c r="R4" s="118">
        <v>35</v>
      </c>
      <c r="S4" s="127">
        <f>K38</f>
        <v>17.425015420000005</v>
      </c>
      <c r="X4" s="114">
        <f t="shared" si="0"/>
        <v>2.8571428571428571E-2</v>
      </c>
      <c r="Y4" s="114">
        <f t="shared" si="1"/>
        <v>2.8571428571428571E-2</v>
      </c>
      <c r="Z4" s="114">
        <f t="shared" si="2"/>
        <v>1.5039995872784135E-2</v>
      </c>
      <c r="AA4" s="114">
        <f t="shared" si="3"/>
        <v>1.3531432698644435E-2</v>
      </c>
    </row>
    <row r="5" spans="1:30" x14ac:dyDescent="0.25">
      <c r="A5" s="106" t="s">
        <v>70</v>
      </c>
      <c r="B5" s="107" t="s">
        <v>39</v>
      </c>
      <c r="C5" s="112">
        <v>0.54556700999999996</v>
      </c>
      <c r="D5" s="112">
        <v>0.46555953350458179</v>
      </c>
      <c r="E5" s="112">
        <v>0.11883096141868546</v>
      </c>
      <c r="F5" s="112">
        <v>0.31805712000000003</v>
      </c>
      <c r="G5" s="112">
        <v>0.55180840000000009</v>
      </c>
      <c r="H5" s="113">
        <v>0.35269908955154206</v>
      </c>
      <c r="I5" s="109"/>
      <c r="J5" s="122">
        <v>2</v>
      </c>
      <c r="K5" s="123">
        <f>K4+F4</f>
        <v>0.54562248000000002</v>
      </c>
      <c r="L5" s="117">
        <f>(K5+K4)/2*(J5-J4)</f>
        <v>0.40384732000000001</v>
      </c>
      <c r="M5" s="103"/>
      <c r="N5" s="124">
        <f t="shared" si="4"/>
        <v>5.7142857142857141E-2</v>
      </c>
      <c r="O5" s="124">
        <f t="shared" si="5"/>
        <v>3.1312596680617449E-2</v>
      </c>
      <c r="P5" s="117">
        <f t="shared" ref="P5:P38" si="6">(O5+O4)/2*(N5-N4)</f>
        <v>6.6217989362002264E-4</v>
      </c>
      <c r="X5" s="114">
        <f t="shared" si="0"/>
        <v>5.7142857142857141E-2</v>
      </c>
      <c r="Y5" s="114">
        <f t="shared" si="1"/>
        <v>5.7142857142857141E-2</v>
      </c>
      <c r="Z5" s="114">
        <f t="shared" si="2"/>
        <v>3.1312596680617449E-2</v>
      </c>
      <c r="AA5" s="114">
        <f t="shared" si="3"/>
        <v>2.5830260462239692E-2</v>
      </c>
    </row>
    <row r="6" spans="1:30" ht="30" x14ac:dyDescent="0.25">
      <c r="A6" s="106" t="s">
        <v>78</v>
      </c>
      <c r="B6" s="31" t="s">
        <v>172</v>
      </c>
      <c r="C6" s="112">
        <v>0.40036253999999999</v>
      </c>
      <c r="D6" s="112">
        <v>5.0792000000000004E-2</v>
      </c>
      <c r="E6" s="112">
        <v>0.31248449048128879</v>
      </c>
      <c r="F6" s="112">
        <v>0.32356594</v>
      </c>
      <c r="G6" s="112">
        <v>0.54417560000000009</v>
      </c>
      <c r="H6" s="113">
        <v>0.35006655691473731</v>
      </c>
      <c r="I6" s="109"/>
      <c r="J6" s="122">
        <v>3</v>
      </c>
      <c r="K6" s="123">
        <f t="shared" ref="K6:K38" si="7">K5+F5</f>
        <v>0.86367959999999999</v>
      </c>
      <c r="L6" s="117">
        <f t="shared" ref="L6:L38" si="8">(K6+K5)/2*(J6-J5)</f>
        <v>0.70465104000000001</v>
      </c>
      <c r="M6" s="103"/>
      <c r="N6" s="124">
        <f t="shared" si="4"/>
        <v>8.5714285714285715E-2</v>
      </c>
      <c r="O6" s="124">
        <f t="shared" si="5"/>
        <v>4.9565499896699644E-2</v>
      </c>
      <c r="P6" s="117">
        <f t="shared" si="6"/>
        <v>1.1554013796759586E-3</v>
      </c>
      <c r="V6" t="s">
        <v>161</v>
      </c>
      <c r="X6" s="114">
        <f t="shared" si="0"/>
        <v>8.5714285714285715E-2</v>
      </c>
      <c r="Y6" s="114">
        <f t="shared" si="1"/>
        <v>8.5714285714285715E-2</v>
      </c>
      <c r="Z6" s="114">
        <f t="shared" si="2"/>
        <v>4.9565499896699644E-2</v>
      </c>
      <c r="AA6" s="114">
        <f t="shared" si="3"/>
        <v>3.6148785817586071E-2</v>
      </c>
    </row>
    <row r="7" spans="1:30" x14ac:dyDescent="0.25">
      <c r="A7" s="106" t="s">
        <v>62</v>
      </c>
      <c r="B7" s="107" t="s">
        <v>31</v>
      </c>
      <c r="C7" s="112">
        <v>0.69076873500000002</v>
      </c>
      <c r="D7" s="112">
        <v>0.49108710798430022</v>
      </c>
      <c r="E7" s="112">
        <v>0.12990184040924591</v>
      </c>
      <c r="F7" s="112">
        <v>0.38091464000000003</v>
      </c>
      <c r="G7" s="112">
        <v>0.70731440000000012</v>
      </c>
      <c r="H7" s="113">
        <v>0.42899950250308572</v>
      </c>
      <c r="I7" s="109"/>
      <c r="J7" s="122">
        <v>4</v>
      </c>
      <c r="K7" s="123">
        <f t="shared" si="7"/>
        <v>1.1872455399999999</v>
      </c>
      <c r="L7" s="117">
        <f t="shared" si="8"/>
        <v>1.02546257</v>
      </c>
      <c r="M7" s="103"/>
      <c r="N7" s="124">
        <f t="shared" si="4"/>
        <v>0.11428571428571428</v>
      </c>
      <c r="O7" s="124">
        <f t="shared" si="5"/>
        <v>6.8134547452813651E-2</v>
      </c>
      <c r="P7" s="117">
        <f t="shared" si="6"/>
        <v>1.6814292478501897E-3</v>
      </c>
      <c r="X7" s="114">
        <f t="shared" si="0"/>
        <v>0.11428571428571428</v>
      </c>
      <c r="Y7" s="114">
        <f t="shared" si="1"/>
        <v>0.11428571428571428</v>
      </c>
      <c r="Z7" s="114">
        <f t="shared" si="2"/>
        <v>6.8134547452813651E-2</v>
      </c>
      <c r="AA7" s="114">
        <f t="shared" si="3"/>
        <v>4.6151166832900631E-2</v>
      </c>
    </row>
    <row r="8" spans="1:30" x14ac:dyDescent="0.25">
      <c r="A8" s="106" t="s">
        <v>69</v>
      </c>
      <c r="B8" s="107" t="s">
        <v>38</v>
      </c>
      <c r="C8" s="112">
        <v>0.56374321500000002</v>
      </c>
      <c r="D8" s="112">
        <v>0.26198498977661355</v>
      </c>
      <c r="E8" s="112">
        <v>0.50492180007202925</v>
      </c>
      <c r="F8" s="112">
        <v>0.393015</v>
      </c>
      <c r="G8" s="112">
        <v>0.87976279999999996</v>
      </c>
      <c r="H8" s="113">
        <v>0.52049124365134891</v>
      </c>
      <c r="I8" s="109"/>
      <c r="J8" s="122">
        <v>5</v>
      </c>
      <c r="K8" s="123">
        <f t="shared" si="7"/>
        <v>1.56816018</v>
      </c>
      <c r="L8" s="117">
        <f t="shared" si="8"/>
        <v>1.3777028599999999</v>
      </c>
      <c r="M8" s="103"/>
      <c r="N8" s="124">
        <f t="shared" si="4"/>
        <v>0.14285714285714285</v>
      </c>
      <c r="O8" s="124">
        <f t="shared" si="5"/>
        <v>8.999476569760187E-2</v>
      </c>
      <c r="P8" s="117">
        <f t="shared" si="6"/>
        <v>2.2589901878630782E-3</v>
      </c>
      <c r="R8" s="118"/>
      <c r="S8" s="118" t="s">
        <v>159</v>
      </c>
      <c r="X8" s="114">
        <f t="shared" si="0"/>
        <v>0.14285714285714285</v>
      </c>
      <c r="Y8" s="114">
        <f t="shared" si="1"/>
        <v>0.14285714285714285</v>
      </c>
      <c r="Z8" s="114">
        <f t="shared" si="2"/>
        <v>8.999476569760187E-2</v>
      </c>
      <c r="AA8" s="114">
        <f t="shared" si="3"/>
        <v>5.286237715954098E-2</v>
      </c>
    </row>
    <row r="9" spans="1:30" x14ac:dyDescent="0.25">
      <c r="A9" s="106" t="s">
        <v>67</v>
      </c>
      <c r="B9" s="107" t="s">
        <v>36</v>
      </c>
      <c r="C9" s="112">
        <v>0.75883447500000001</v>
      </c>
      <c r="D9" s="112">
        <v>0.5007369710748546</v>
      </c>
      <c r="E9" s="112">
        <v>0.42085535686958664</v>
      </c>
      <c r="F9" s="112">
        <v>0.39645452000000003</v>
      </c>
      <c r="G9" s="112">
        <v>0.80132440000000005</v>
      </c>
      <c r="H9" s="113">
        <v>0.54313021306127651</v>
      </c>
      <c r="I9" s="109"/>
      <c r="J9" s="122">
        <v>6</v>
      </c>
      <c r="K9" s="123">
        <f t="shared" si="7"/>
        <v>1.9611751800000001</v>
      </c>
      <c r="L9" s="117">
        <f t="shared" si="8"/>
        <v>1.7646676800000001</v>
      </c>
      <c r="M9" s="103"/>
      <c r="N9" s="124">
        <f t="shared" si="4"/>
        <v>0.17142857142857143</v>
      </c>
      <c r="O9" s="124">
        <f t="shared" si="5"/>
        <v>0.11254940857894516</v>
      </c>
      <c r="P9" s="117">
        <f t="shared" si="6"/>
        <v>2.8934882039506728E-3</v>
      </c>
      <c r="R9" s="118">
        <v>0</v>
      </c>
      <c r="S9" s="128">
        <v>0</v>
      </c>
      <c r="X9" s="114">
        <f t="shared" si="0"/>
        <v>0.17142857142857143</v>
      </c>
      <c r="Y9" s="114">
        <f t="shared" si="1"/>
        <v>0.17142857142857143</v>
      </c>
      <c r="Z9" s="114">
        <f t="shared" si="2"/>
        <v>0.11254940857894516</v>
      </c>
      <c r="AA9" s="114">
        <f t="shared" si="3"/>
        <v>5.8879162849626271E-2</v>
      </c>
    </row>
    <row r="10" spans="1:30" x14ac:dyDescent="0.25">
      <c r="A10" s="106" t="s">
        <v>74</v>
      </c>
      <c r="B10" s="107" t="s">
        <v>43</v>
      </c>
      <c r="C10" s="112">
        <v>0.63674856000000002</v>
      </c>
      <c r="D10" s="112">
        <v>0.2788653323180233</v>
      </c>
      <c r="E10" s="112">
        <v>0.35858799764312016</v>
      </c>
      <c r="F10" s="112">
        <v>0.40412833999999997</v>
      </c>
      <c r="G10" s="112">
        <v>0.49664640000000004</v>
      </c>
      <c r="H10" s="113">
        <v>0.44487794887079002</v>
      </c>
      <c r="I10" s="109"/>
      <c r="J10" s="122">
        <v>7</v>
      </c>
      <c r="K10" s="123">
        <f t="shared" si="7"/>
        <v>2.3576297000000004</v>
      </c>
      <c r="L10" s="117">
        <f t="shared" si="8"/>
        <v>2.15940244</v>
      </c>
      <c r="M10" s="103"/>
      <c r="N10" s="124">
        <f t="shared" si="4"/>
        <v>0.2</v>
      </c>
      <c r="O10" s="124">
        <f t="shared" si="5"/>
        <v>0.13530144124256963</v>
      </c>
      <c r="P10" s="117">
        <f t="shared" si="6"/>
        <v>3.5407264260216408E-3</v>
      </c>
      <c r="R10" s="118">
        <v>1</v>
      </c>
      <c r="S10" s="129">
        <v>1</v>
      </c>
      <c r="X10" s="114">
        <f t="shared" si="0"/>
        <v>0.2</v>
      </c>
      <c r="Y10" s="114">
        <f t="shared" si="1"/>
        <v>0.2</v>
      </c>
      <c r="Z10" s="114">
        <f t="shared" si="2"/>
        <v>0.13530144124256963</v>
      </c>
      <c r="AA10" s="114">
        <f t="shared" si="3"/>
        <v>6.4698558757430386E-2</v>
      </c>
    </row>
    <row r="11" spans="1:30" x14ac:dyDescent="0.25">
      <c r="A11" s="106" t="s">
        <v>75</v>
      </c>
      <c r="B11" s="107" t="s">
        <v>96</v>
      </c>
      <c r="C11" s="112">
        <v>0.36000341999999996</v>
      </c>
      <c r="D11" s="112">
        <v>0.2155323159086025</v>
      </c>
      <c r="E11" s="112">
        <v>0.38374293766269163</v>
      </c>
      <c r="F11" s="112">
        <v>0.40998915999999996</v>
      </c>
      <c r="G11" s="112">
        <v>0.6763344</v>
      </c>
      <c r="H11" s="113">
        <v>0.41744644389701502</v>
      </c>
      <c r="I11" s="109"/>
      <c r="J11" s="122">
        <v>8</v>
      </c>
      <c r="K11" s="123">
        <f t="shared" si="7"/>
        <v>2.7617580400000001</v>
      </c>
      <c r="L11" s="117">
        <f t="shared" si="8"/>
        <v>2.5596938700000003</v>
      </c>
      <c r="M11" s="103"/>
      <c r="N11" s="124">
        <f t="shared" si="4"/>
        <v>0.22857142857142856</v>
      </c>
      <c r="O11" s="124">
        <f t="shared" si="5"/>
        <v>0.15849386490815509</v>
      </c>
      <c r="P11" s="117">
        <f t="shared" si="6"/>
        <v>4.1970758021532073E-3</v>
      </c>
      <c r="X11" s="114">
        <f t="shared" si="0"/>
        <v>0.22857142857142856</v>
      </c>
      <c r="Y11" s="114">
        <f t="shared" si="1"/>
        <v>0.22857142857142856</v>
      </c>
      <c r="Z11" s="114">
        <f t="shared" si="2"/>
        <v>0.15849386490815509</v>
      </c>
      <c r="AA11" s="114">
        <f t="shared" si="3"/>
        <v>7.0077563663273473E-2</v>
      </c>
    </row>
    <row r="12" spans="1:30" x14ac:dyDescent="0.25">
      <c r="A12" s="106" t="s">
        <v>77</v>
      </c>
      <c r="B12" s="107" t="s">
        <v>45</v>
      </c>
      <c r="C12" s="112">
        <v>0.28688462999999997</v>
      </c>
      <c r="D12" s="112">
        <v>2.1049952668659951E-2</v>
      </c>
      <c r="E12" s="112">
        <v>0.28456926448536063</v>
      </c>
      <c r="F12" s="112">
        <v>0.43910988000000001</v>
      </c>
      <c r="G12" s="112">
        <v>0.77070440000000007</v>
      </c>
      <c r="H12" s="113">
        <v>0.38416217429624377</v>
      </c>
      <c r="I12" s="109"/>
      <c r="J12" s="122">
        <v>9</v>
      </c>
      <c r="K12" s="123">
        <f t="shared" si="7"/>
        <v>3.1717472</v>
      </c>
      <c r="L12" s="117">
        <f t="shared" si="8"/>
        <v>2.9667526200000003</v>
      </c>
      <c r="M12" s="103"/>
      <c r="N12" s="124">
        <f t="shared" si="4"/>
        <v>0.25714285714285712</v>
      </c>
      <c r="O12" s="124">
        <f t="shared" si="5"/>
        <v>0.18202263375672806</v>
      </c>
      <c r="P12" s="117">
        <f t="shared" si="6"/>
        <v>4.8645214094983277E-3</v>
      </c>
      <c r="X12" s="114">
        <f t="shared" si="0"/>
        <v>0.25714285714285712</v>
      </c>
      <c r="Y12" s="114">
        <f t="shared" si="1"/>
        <v>0.25714285714285712</v>
      </c>
      <c r="Z12" s="114">
        <f t="shared" si="2"/>
        <v>0.18202263375672806</v>
      </c>
      <c r="AA12" s="114">
        <f t="shared" si="3"/>
        <v>7.5120223386129059E-2</v>
      </c>
    </row>
    <row r="13" spans="1:30" x14ac:dyDescent="0.25">
      <c r="A13" s="106" t="s">
        <v>57</v>
      </c>
      <c r="B13" s="107" t="s">
        <v>25</v>
      </c>
      <c r="C13" s="112">
        <v>0.64761148499999999</v>
      </c>
      <c r="D13" s="112">
        <v>0.56523878880686684</v>
      </c>
      <c r="E13" s="112">
        <v>0.36124299881999994</v>
      </c>
      <c r="F13" s="112">
        <v>0.45037382000000004</v>
      </c>
      <c r="G13" s="112">
        <v>0.79489960000000004</v>
      </c>
      <c r="H13" s="113">
        <v>0.52306134183949382</v>
      </c>
      <c r="I13" s="109"/>
      <c r="J13" s="122">
        <v>10</v>
      </c>
      <c r="K13" s="123">
        <f t="shared" si="7"/>
        <v>3.6108570800000002</v>
      </c>
      <c r="L13" s="117">
        <f t="shared" si="8"/>
        <v>3.3913021400000001</v>
      </c>
      <c r="M13" s="103"/>
      <c r="N13" s="124">
        <f t="shared" si="4"/>
        <v>0.2857142857142857</v>
      </c>
      <c r="O13" s="124">
        <f t="shared" si="5"/>
        <v>0.20722260456972377</v>
      </c>
      <c r="P13" s="117">
        <f t="shared" si="6"/>
        <v>5.5606462618064574E-3</v>
      </c>
      <c r="X13" s="114">
        <f t="shared" si="0"/>
        <v>0.2857142857142857</v>
      </c>
      <c r="Y13" s="114">
        <f t="shared" si="1"/>
        <v>0.2857142857142857</v>
      </c>
      <c r="Z13" s="114">
        <f t="shared" si="2"/>
        <v>0.20722260456972377</v>
      </c>
      <c r="AA13" s="114">
        <f t="shared" si="3"/>
        <v>7.8491681144561926E-2</v>
      </c>
    </row>
    <row r="14" spans="1:30" x14ac:dyDescent="0.25">
      <c r="A14" s="106" t="s">
        <v>65</v>
      </c>
      <c r="B14" s="107" t="s">
        <v>34</v>
      </c>
      <c r="C14" s="112">
        <v>0.6593966</v>
      </c>
      <c r="D14" s="112">
        <v>0.40651641000637417</v>
      </c>
      <c r="E14" s="112">
        <v>0.33518155871341482</v>
      </c>
      <c r="F14" s="112">
        <v>0.46033992000000001</v>
      </c>
      <c r="G14" s="112">
        <v>0.79421520000000001</v>
      </c>
      <c r="H14" s="113">
        <v>0.51084441544170367</v>
      </c>
      <c r="I14" s="109"/>
      <c r="J14" s="122">
        <v>11</v>
      </c>
      <c r="K14" s="123">
        <f t="shared" si="7"/>
        <v>4.0612309</v>
      </c>
      <c r="L14" s="117">
        <f t="shared" si="8"/>
        <v>3.8360439900000003</v>
      </c>
      <c r="M14" s="103"/>
      <c r="N14" s="124">
        <f t="shared" si="4"/>
        <v>0.31428571428571428</v>
      </c>
      <c r="O14" s="124">
        <f t="shared" si="5"/>
        <v>0.23306899891397623</v>
      </c>
      <c r="P14" s="117">
        <f t="shared" si="6"/>
        <v>6.2898800497671447E-3</v>
      </c>
      <c r="X14" s="114">
        <f t="shared" si="0"/>
        <v>0.31428571428571428</v>
      </c>
      <c r="Y14" s="114">
        <f t="shared" si="1"/>
        <v>0.31428571428571428</v>
      </c>
      <c r="Z14" s="114">
        <f t="shared" si="2"/>
        <v>0.23306899891397623</v>
      </c>
      <c r="AA14" s="114">
        <f t="shared" si="3"/>
        <v>8.1216715371738052E-2</v>
      </c>
    </row>
    <row r="15" spans="1:30" x14ac:dyDescent="0.25">
      <c r="A15" s="106" t="s">
        <v>71</v>
      </c>
      <c r="B15" s="107" t="s">
        <v>40</v>
      </c>
      <c r="C15" s="112">
        <v>0.44021503499999998</v>
      </c>
      <c r="D15" s="112">
        <v>0.13927330418277856</v>
      </c>
      <c r="E15" s="112">
        <v>0.4816753598058332</v>
      </c>
      <c r="F15" s="112">
        <v>0.46097591999999998</v>
      </c>
      <c r="G15" s="112">
        <v>0.5439676</v>
      </c>
      <c r="H15" s="113">
        <v>0.453265424255754</v>
      </c>
      <c r="I15" s="109"/>
      <c r="J15" s="122">
        <v>12</v>
      </c>
      <c r="K15" s="123">
        <f t="shared" si="7"/>
        <v>4.52157082</v>
      </c>
      <c r="L15" s="117">
        <f t="shared" si="8"/>
        <v>4.2914008599999995</v>
      </c>
      <c r="M15" s="103"/>
      <c r="N15" s="124">
        <f t="shared" si="4"/>
        <v>0.34285714285714286</v>
      </c>
      <c r="O15" s="124">
        <f t="shared" si="5"/>
        <v>0.25948733536328766</v>
      </c>
      <c r="P15" s="117">
        <f t="shared" si="6"/>
        <v>7.036519061103772E-3</v>
      </c>
      <c r="X15" s="114">
        <f t="shared" si="0"/>
        <v>0.34285714285714286</v>
      </c>
      <c r="Y15" s="114">
        <f t="shared" si="1"/>
        <v>0.34285714285714286</v>
      </c>
      <c r="Z15" s="114">
        <f t="shared" si="2"/>
        <v>0.25948733536328766</v>
      </c>
      <c r="AA15" s="114">
        <f t="shared" si="3"/>
        <v>8.3369807493855197E-2</v>
      </c>
    </row>
    <row r="16" spans="1:30" x14ac:dyDescent="0.25">
      <c r="A16" s="106" t="s">
        <v>79</v>
      </c>
      <c r="B16" s="107" t="s">
        <v>46</v>
      </c>
      <c r="C16" s="112">
        <v>0.50227591999999999</v>
      </c>
      <c r="D16" s="112">
        <v>0.18049262889513421</v>
      </c>
      <c r="E16" s="112">
        <v>0.33916643712932065</v>
      </c>
      <c r="F16" s="112">
        <v>0.4611922</v>
      </c>
      <c r="G16" s="112">
        <v>0.61328959999999999</v>
      </c>
      <c r="H16" s="113">
        <v>0.43902739724554296</v>
      </c>
      <c r="I16" s="109"/>
      <c r="J16" s="122">
        <v>13</v>
      </c>
      <c r="K16" s="123">
        <f t="shared" si="7"/>
        <v>4.9825467400000001</v>
      </c>
      <c r="L16" s="117">
        <f t="shared" si="8"/>
        <v>4.7520587800000005</v>
      </c>
      <c r="M16" s="103"/>
      <c r="N16" s="124">
        <f t="shared" si="4"/>
        <v>0.37142857142857144</v>
      </c>
      <c r="O16" s="124">
        <f t="shared" si="5"/>
        <v>0.28594217106293951</v>
      </c>
      <c r="P16" s="117">
        <f t="shared" si="6"/>
        <v>7.7918500918032468E-3</v>
      </c>
      <c r="X16" s="114">
        <f t="shared" si="0"/>
        <v>0.37142857142857144</v>
      </c>
      <c r="Y16" s="114">
        <f t="shared" si="1"/>
        <v>0.37142857142857144</v>
      </c>
      <c r="Z16" s="114">
        <f t="shared" si="2"/>
        <v>0.28594217106293951</v>
      </c>
      <c r="AA16" s="114">
        <f t="shared" si="3"/>
        <v>8.5486400365631932E-2</v>
      </c>
    </row>
    <row r="17" spans="1:27" x14ac:dyDescent="0.25">
      <c r="A17" s="106" t="s">
        <v>64</v>
      </c>
      <c r="B17" s="107" t="s">
        <v>33</v>
      </c>
      <c r="C17" s="112">
        <v>0.55357906000000001</v>
      </c>
      <c r="D17" s="112">
        <v>0.35095400120610676</v>
      </c>
      <c r="E17" s="112">
        <v>0.16837770213691144</v>
      </c>
      <c r="F17" s="112">
        <v>0.46570116000000006</v>
      </c>
      <c r="G17" s="112">
        <v>0.69888680000000003</v>
      </c>
      <c r="H17" s="113">
        <v>0.4266998851134447</v>
      </c>
      <c r="I17" s="109"/>
      <c r="J17" s="122">
        <v>14</v>
      </c>
      <c r="K17" s="123">
        <f t="shared" si="7"/>
        <v>5.4437389400000002</v>
      </c>
      <c r="L17" s="117">
        <f t="shared" si="8"/>
        <v>5.2131428399999997</v>
      </c>
      <c r="M17" s="103"/>
      <c r="N17" s="124">
        <f t="shared" si="4"/>
        <v>0.4</v>
      </c>
      <c r="O17" s="124">
        <f t="shared" si="5"/>
        <v>0.31240941880325745</v>
      </c>
      <c r="P17" s="117">
        <f t="shared" si="6"/>
        <v>8.5478798552313887E-3</v>
      </c>
      <c r="X17" s="114">
        <f t="shared" si="0"/>
        <v>0.4</v>
      </c>
      <c r="Y17" s="114">
        <f t="shared" si="1"/>
        <v>0.4</v>
      </c>
      <c r="Z17" s="114">
        <f t="shared" si="2"/>
        <v>0.31240941880325745</v>
      </c>
      <c r="AA17" s="114">
        <f t="shared" si="3"/>
        <v>8.7590581196742567E-2</v>
      </c>
    </row>
    <row r="18" spans="1:27" x14ac:dyDescent="0.25">
      <c r="A18" s="106" t="s">
        <v>55</v>
      </c>
      <c r="B18" s="107" t="s">
        <v>23</v>
      </c>
      <c r="C18" s="112">
        <v>0.62265356000000005</v>
      </c>
      <c r="D18" s="112">
        <v>0.59150555506206037</v>
      </c>
      <c r="E18" s="112">
        <v>0.43180370663506984</v>
      </c>
      <c r="F18" s="112">
        <v>0.46840176</v>
      </c>
      <c r="G18" s="112">
        <v>0.83708879999999997</v>
      </c>
      <c r="H18" s="113">
        <v>0.55076778302622453</v>
      </c>
      <c r="I18" s="109"/>
      <c r="J18" s="122">
        <v>15</v>
      </c>
      <c r="K18" s="123">
        <f t="shared" si="7"/>
        <v>5.9094401000000003</v>
      </c>
      <c r="L18" s="117">
        <f t="shared" si="8"/>
        <v>5.6765895200000003</v>
      </c>
      <c r="M18" s="103"/>
      <c r="N18" s="124">
        <f t="shared" si="4"/>
        <v>0.42857142857142855</v>
      </c>
      <c r="O18" s="124">
        <f t="shared" si="5"/>
        <v>0.33913543015963649</v>
      </c>
      <c r="P18" s="117">
        <f t="shared" si="6"/>
        <v>9.3077835566127542E-3</v>
      </c>
      <c r="X18" s="114">
        <f t="shared" si="0"/>
        <v>0.42857142857142855</v>
      </c>
      <c r="Y18" s="114">
        <f t="shared" si="1"/>
        <v>0.42857142857142855</v>
      </c>
      <c r="Z18" s="114">
        <f t="shared" si="2"/>
        <v>0.33913543015963649</v>
      </c>
      <c r="AA18" s="114">
        <f t="shared" si="3"/>
        <v>8.9435998411792061E-2</v>
      </c>
    </row>
    <row r="19" spans="1:27" x14ac:dyDescent="0.25">
      <c r="A19" s="106" t="s">
        <v>80</v>
      </c>
      <c r="B19" s="107" t="s">
        <v>47</v>
      </c>
      <c r="C19" s="112">
        <v>0.27657685500000001</v>
      </c>
      <c r="D19" s="112">
        <v>0.12385713243684683</v>
      </c>
      <c r="E19" s="112">
        <v>0.35827352991391431</v>
      </c>
      <c r="F19" s="112">
        <v>0.47493014</v>
      </c>
      <c r="G19" s="112">
        <v>0.48520489470688671</v>
      </c>
      <c r="H19" s="113">
        <v>0.37962500398158189</v>
      </c>
      <c r="I19" s="109"/>
      <c r="J19" s="122">
        <v>16</v>
      </c>
      <c r="K19" s="123">
        <f t="shared" si="7"/>
        <v>6.3778418600000002</v>
      </c>
      <c r="L19" s="117">
        <f t="shared" si="8"/>
        <v>6.1436409800000007</v>
      </c>
      <c r="M19" s="103"/>
      <c r="N19" s="124">
        <f t="shared" si="4"/>
        <v>0.45714285714285713</v>
      </c>
      <c r="O19" s="124">
        <f t="shared" si="5"/>
        <v>0.36601642559694209</v>
      </c>
      <c r="P19" s="117">
        <f t="shared" si="6"/>
        <v>1.0073597939379697E-2</v>
      </c>
      <c r="X19" s="114">
        <f t="shared" si="0"/>
        <v>0.45714285714285713</v>
      </c>
      <c r="Y19" s="114">
        <f t="shared" si="1"/>
        <v>0.45714285714285713</v>
      </c>
      <c r="Z19" s="114">
        <f t="shared" si="2"/>
        <v>0.36601642559694209</v>
      </c>
      <c r="AA19" s="114">
        <f t="shared" si="3"/>
        <v>9.1126431545915043E-2</v>
      </c>
    </row>
    <row r="20" spans="1:27" x14ac:dyDescent="0.25">
      <c r="A20" s="106" t="s">
        <v>171</v>
      </c>
      <c r="B20" s="107" t="s">
        <v>28</v>
      </c>
      <c r="C20" s="112">
        <v>0.66450627000000007</v>
      </c>
      <c r="D20" s="112">
        <v>0.38792094466935201</v>
      </c>
      <c r="E20" s="112">
        <v>0.36472279992584322</v>
      </c>
      <c r="F20" s="112">
        <v>0.47654293999999997</v>
      </c>
      <c r="G20" s="112">
        <v>0.63217120000000004</v>
      </c>
      <c r="H20" s="113">
        <v>0.50084835873235634</v>
      </c>
      <c r="I20" s="109"/>
      <c r="J20" s="122">
        <v>17</v>
      </c>
      <c r="K20" s="123">
        <f t="shared" si="7"/>
        <v>6.8527719999999999</v>
      </c>
      <c r="L20" s="117">
        <f t="shared" si="8"/>
        <v>6.61530693</v>
      </c>
      <c r="M20" s="103"/>
      <c r="N20" s="124">
        <f t="shared" si="4"/>
        <v>0.48571428571428571</v>
      </c>
      <c r="O20" s="124">
        <f t="shared" si="5"/>
        <v>0.39327207665679059</v>
      </c>
      <c r="P20" s="117">
        <f t="shared" si="6"/>
        <v>1.0846978603624756E-2</v>
      </c>
      <c r="X20" s="114">
        <f t="shared" si="0"/>
        <v>0.48571428571428571</v>
      </c>
      <c r="Y20" s="114">
        <f t="shared" si="1"/>
        <v>0.48571428571428571</v>
      </c>
      <c r="Z20" s="114">
        <f t="shared" si="2"/>
        <v>0.39327207665679059</v>
      </c>
      <c r="AA20" s="114">
        <f t="shared" si="3"/>
        <v>9.2442209057495117E-2</v>
      </c>
    </row>
    <row r="21" spans="1:27" x14ac:dyDescent="0.25">
      <c r="A21" s="106" t="s">
        <v>76</v>
      </c>
      <c r="B21" s="107" t="s">
        <v>44</v>
      </c>
      <c r="C21" s="112">
        <v>0.522958645</v>
      </c>
      <c r="D21" s="112">
        <v>0.22210951998596482</v>
      </c>
      <c r="E21" s="112">
        <v>0.3262218992927256</v>
      </c>
      <c r="F21" s="112">
        <v>0.51269586</v>
      </c>
      <c r="G21" s="112">
        <v>0.6952252000000001</v>
      </c>
      <c r="H21" s="113">
        <v>0.46980301761587107</v>
      </c>
      <c r="I21" s="109"/>
      <c r="J21" s="122">
        <v>18</v>
      </c>
      <c r="K21" s="123">
        <f t="shared" si="7"/>
        <v>7.3293149399999997</v>
      </c>
      <c r="L21" s="117">
        <f t="shared" si="8"/>
        <v>7.0910434699999998</v>
      </c>
      <c r="M21" s="103"/>
      <c r="N21" s="124">
        <f t="shared" si="4"/>
        <v>0.51428571428571423</v>
      </c>
      <c r="O21" s="124">
        <f t="shared" si="5"/>
        <v>0.42062028430618159</v>
      </c>
      <c r="P21" s="117">
        <f t="shared" si="6"/>
        <v>1.1627033728042442E-2</v>
      </c>
      <c r="X21" s="114">
        <f t="shared" si="0"/>
        <v>0.51428571428571423</v>
      </c>
      <c r="Y21" s="114">
        <f t="shared" si="1"/>
        <v>0.51428571428571423</v>
      </c>
      <c r="Z21" s="114">
        <f t="shared" si="2"/>
        <v>0.42062028430618159</v>
      </c>
      <c r="AA21" s="114">
        <f t="shared" si="3"/>
        <v>9.3665429979532644E-2</v>
      </c>
    </row>
    <row r="22" spans="1:27" x14ac:dyDescent="0.25">
      <c r="A22" s="106" t="s">
        <v>59</v>
      </c>
      <c r="B22" s="107" t="s">
        <v>27</v>
      </c>
      <c r="C22" s="112">
        <v>0.66246691000000002</v>
      </c>
      <c r="D22" s="112">
        <v>0.31718616189744087</v>
      </c>
      <c r="E22" s="112">
        <v>0.36551260596193563</v>
      </c>
      <c r="F22" s="112">
        <v>0.51571212</v>
      </c>
      <c r="G22" s="112">
        <v>0.79456000000000016</v>
      </c>
      <c r="H22" s="113">
        <v>0.53107689983453266</v>
      </c>
      <c r="I22" s="109"/>
      <c r="J22" s="122">
        <v>19</v>
      </c>
      <c r="K22" s="123">
        <f t="shared" si="7"/>
        <v>7.8420107999999997</v>
      </c>
      <c r="L22" s="117">
        <f t="shared" si="8"/>
        <v>7.5856628700000002</v>
      </c>
      <c r="M22" s="103"/>
      <c r="N22" s="124">
        <f t="shared" si="4"/>
        <v>0.54285714285714282</v>
      </c>
      <c r="O22" s="124">
        <f t="shared" si="5"/>
        <v>0.45004326314679366</v>
      </c>
      <c r="P22" s="117">
        <f t="shared" si="6"/>
        <v>1.243805067789965E-2</v>
      </c>
      <c r="X22" s="114">
        <f t="shared" si="0"/>
        <v>0.54285714285714282</v>
      </c>
      <c r="Y22" s="114">
        <f t="shared" si="1"/>
        <v>0.54285714285714282</v>
      </c>
      <c r="Z22" s="114">
        <f t="shared" si="2"/>
        <v>0.45004326314679366</v>
      </c>
      <c r="AA22" s="114">
        <f t="shared" si="3"/>
        <v>9.2813879710349156E-2</v>
      </c>
    </row>
    <row r="23" spans="1:27" ht="27.75" customHeight="1" x14ac:dyDescent="0.25">
      <c r="A23" s="106" t="s">
        <v>68</v>
      </c>
      <c r="B23" s="107" t="s">
        <v>37</v>
      </c>
      <c r="C23" s="112">
        <v>0.80846217000000009</v>
      </c>
      <c r="D23" s="112">
        <v>0.841294202207021</v>
      </c>
      <c r="E23" s="112">
        <v>0.30258397602403653</v>
      </c>
      <c r="F23" s="112">
        <v>0.52107358000000004</v>
      </c>
      <c r="G23" s="112">
        <v>0.93191320000000011</v>
      </c>
      <c r="H23" s="113">
        <v>0.59924780126523858</v>
      </c>
      <c r="I23" s="109"/>
      <c r="J23" s="122">
        <v>20</v>
      </c>
      <c r="K23" s="123">
        <f t="shared" si="7"/>
        <v>8.3577229200000005</v>
      </c>
      <c r="L23" s="117">
        <f t="shared" si="8"/>
        <v>8.0998668600000006</v>
      </c>
      <c r="M23" s="103"/>
      <c r="N23" s="124">
        <f t="shared" si="4"/>
        <v>0.5714285714285714</v>
      </c>
      <c r="O23" s="124">
        <f t="shared" si="5"/>
        <v>0.47963934140380798</v>
      </c>
      <c r="P23" s="117">
        <f t="shared" si="6"/>
        <v>1.3281180065008599E-2</v>
      </c>
      <c r="X23" s="114">
        <f t="shared" si="0"/>
        <v>0.5714285714285714</v>
      </c>
      <c r="Y23" s="114">
        <f t="shared" si="1"/>
        <v>0.5714285714285714</v>
      </c>
      <c r="Z23" s="114">
        <f t="shared" si="2"/>
        <v>0.47963934140380798</v>
      </c>
      <c r="AA23" s="114">
        <f t="shared" si="3"/>
        <v>9.1789230024763413E-2</v>
      </c>
    </row>
    <row r="24" spans="1:27" x14ac:dyDescent="0.25">
      <c r="A24" s="106" t="s">
        <v>63</v>
      </c>
      <c r="B24" s="107" t="s">
        <v>32</v>
      </c>
      <c r="C24" s="112">
        <v>0.69083377000000001</v>
      </c>
      <c r="D24" s="112">
        <v>0.25034693414936143</v>
      </c>
      <c r="E24" s="112">
        <v>0.29839336584164322</v>
      </c>
      <c r="F24" s="112">
        <v>0.52199967999999997</v>
      </c>
      <c r="G24" s="112">
        <v>0.84225240000000001</v>
      </c>
      <c r="H24" s="113">
        <v>0.5225975953944918</v>
      </c>
      <c r="I24" s="109"/>
      <c r="J24" s="122">
        <v>21</v>
      </c>
      <c r="K24" s="123">
        <f t="shared" si="7"/>
        <v>8.8787965</v>
      </c>
      <c r="L24" s="117">
        <f t="shared" si="8"/>
        <v>8.6182597100000002</v>
      </c>
      <c r="M24" s="103"/>
      <c r="N24" s="124">
        <f t="shared" si="4"/>
        <v>0.6</v>
      </c>
      <c r="O24" s="124">
        <f t="shared" si="5"/>
        <v>0.50954310719341667</v>
      </c>
      <c r="P24" s="117">
        <f t="shared" si="6"/>
        <v>1.4131177837103215E-2</v>
      </c>
      <c r="X24" s="114">
        <f t="shared" si="0"/>
        <v>0.6</v>
      </c>
      <c r="Y24" s="114">
        <f t="shared" si="1"/>
        <v>0.6</v>
      </c>
      <c r="Z24" s="114">
        <f t="shared" si="2"/>
        <v>0.50954310719341667</v>
      </c>
      <c r="AA24" s="114">
        <f t="shared" si="3"/>
        <v>9.0456892806583311E-2</v>
      </c>
    </row>
    <row r="25" spans="1:27" x14ac:dyDescent="0.25">
      <c r="A25" s="106" t="s">
        <v>54</v>
      </c>
      <c r="B25" s="107" t="s">
        <v>22</v>
      </c>
      <c r="C25" s="112">
        <v>0.71726882500000011</v>
      </c>
      <c r="D25" s="112">
        <v>0.39685516974894702</v>
      </c>
      <c r="E25" s="112">
        <v>0.27364417443448935</v>
      </c>
      <c r="F25" s="112">
        <v>0.52456413999999996</v>
      </c>
      <c r="G25" s="112">
        <v>0.83696920000000008</v>
      </c>
      <c r="H25" s="113">
        <v>0.53077554230719604</v>
      </c>
      <c r="I25" s="109"/>
      <c r="J25" s="122">
        <v>22</v>
      </c>
      <c r="K25" s="123">
        <f t="shared" si="7"/>
        <v>9.4007961800000004</v>
      </c>
      <c r="L25" s="117">
        <f t="shared" si="8"/>
        <v>9.1397963400000002</v>
      </c>
      <c r="M25" s="103"/>
      <c r="N25" s="124">
        <f t="shared" si="4"/>
        <v>0.62857142857142856</v>
      </c>
      <c r="O25" s="124">
        <f t="shared" si="5"/>
        <v>0.53950002071217662</v>
      </c>
      <c r="P25" s="117">
        <f t="shared" si="6"/>
        <v>1.4986330398651338E-2</v>
      </c>
      <c r="X25" s="114">
        <f t="shared" si="0"/>
        <v>0.62857142857142856</v>
      </c>
      <c r="Y25" s="114">
        <f t="shared" si="1"/>
        <v>0.62857142857142856</v>
      </c>
      <c r="Z25" s="114">
        <f t="shared" si="2"/>
        <v>0.53950002071217662</v>
      </c>
      <c r="AA25" s="114">
        <f t="shared" si="3"/>
        <v>8.9071407859251939E-2</v>
      </c>
    </row>
    <row r="26" spans="1:27" x14ac:dyDescent="0.25">
      <c r="A26" s="106" t="s">
        <v>58</v>
      </c>
      <c r="B26" s="107" t="s">
        <v>26</v>
      </c>
      <c r="C26" s="112">
        <v>0.70440694500000012</v>
      </c>
      <c r="D26" s="112">
        <v>0.36417864</v>
      </c>
      <c r="E26" s="112">
        <v>0.38466852000000001</v>
      </c>
      <c r="F26" s="112">
        <v>0.52614430000000001</v>
      </c>
      <c r="G26" s="112">
        <v>0.92273360000000004</v>
      </c>
      <c r="H26" s="113">
        <v>0.5696317692670001</v>
      </c>
      <c r="I26" s="109"/>
      <c r="J26" s="122">
        <v>23</v>
      </c>
      <c r="K26" s="123">
        <f t="shared" si="7"/>
        <v>9.9253603200000011</v>
      </c>
      <c r="L26" s="117">
        <f t="shared" si="8"/>
        <v>9.6630782500000016</v>
      </c>
      <c r="M26" s="103"/>
      <c r="N26" s="124">
        <f t="shared" si="4"/>
        <v>0.65714285714285714</v>
      </c>
      <c r="O26" s="124">
        <f t="shared" si="5"/>
        <v>0.56960410540629514</v>
      </c>
      <c r="P26" s="117">
        <f t="shared" si="6"/>
        <v>1.5844344658835316E-2</v>
      </c>
      <c r="X26" s="114">
        <f t="shared" si="0"/>
        <v>0.65714285714285714</v>
      </c>
      <c r="Y26" s="114">
        <f t="shared" si="1"/>
        <v>0.65714285714285714</v>
      </c>
      <c r="Z26" s="114">
        <f t="shared" si="2"/>
        <v>0.56960410540629514</v>
      </c>
      <c r="AA26" s="114">
        <f t="shared" si="3"/>
        <v>8.7538751736562004E-2</v>
      </c>
    </row>
    <row r="27" spans="1:27" x14ac:dyDescent="0.25">
      <c r="A27" s="106" t="s">
        <v>72</v>
      </c>
      <c r="B27" s="107" t="s">
        <v>41</v>
      </c>
      <c r="C27" s="112">
        <v>0.37886684500000001</v>
      </c>
      <c r="D27" s="112">
        <v>0.11582386566916616</v>
      </c>
      <c r="E27" s="112">
        <v>0.26832282215401948</v>
      </c>
      <c r="F27" s="112">
        <v>0.52677059999999998</v>
      </c>
      <c r="G27" s="112">
        <v>0.67188040000000004</v>
      </c>
      <c r="H27" s="113">
        <v>0.41766985201083279</v>
      </c>
      <c r="I27" s="109"/>
      <c r="J27" s="122">
        <v>24</v>
      </c>
      <c r="K27" s="123">
        <f t="shared" si="7"/>
        <v>10.451504620000001</v>
      </c>
      <c r="L27" s="117">
        <f t="shared" si="8"/>
        <v>10.188432470000002</v>
      </c>
      <c r="M27" s="103"/>
      <c r="N27" s="124">
        <f t="shared" si="4"/>
        <v>0.68571428571428572</v>
      </c>
      <c r="O27" s="124">
        <f t="shared" si="5"/>
        <v>0.59979887352088201</v>
      </c>
      <c r="P27" s="117">
        <f t="shared" si="6"/>
        <v>1.6705756841816823E-2</v>
      </c>
      <c r="X27" s="114">
        <f t="shared" si="0"/>
        <v>0.68571428571428572</v>
      </c>
      <c r="Y27" s="114">
        <f t="shared" si="1"/>
        <v>0.68571428571428572</v>
      </c>
      <c r="Z27" s="114">
        <f t="shared" si="2"/>
        <v>0.59979887352088201</v>
      </c>
      <c r="AA27" s="114">
        <f t="shared" si="3"/>
        <v>8.5915412193403706E-2</v>
      </c>
    </row>
    <row r="28" spans="1:27" x14ac:dyDescent="0.25">
      <c r="A28" s="106" t="s">
        <v>66</v>
      </c>
      <c r="B28" s="107" t="s">
        <v>35</v>
      </c>
      <c r="C28" s="112">
        <v>0.82751446499999992</v>
      </c>
      <c r="D28" s="112">
        <v>0.83433416000000005</v>
      </c>
      <c r="E28" s="112">
        <v>0.4986556296843897</v>
      </c>
      <c r="F28" s="112">
        <v>0.53861495999999998</v>
      </c>
      <c r="G28" s="112">
        <v>0.82978040000000008</v>
      </c>
      <c r="H28" s="113">
        <v>0.64832357791530681</v>
      </c>
      <c r="I28" s="109"/>
      <c r="J28" s="122">
        <v>25</v>
      </c>
      <c r="K28" s="123">
        <f t="shared" si="7"/>
        <v>10.978275220000002</v>
      </c>
      <c r="L28" s="117">
        <f t="shared" si="8"/>
        <v>10.714889920000001</v>
      </c>
      <c r="M28" s="103"/>
      <c r="N28" s="124">
        <f t="shared" si="4"/>
        <v>0.7142857142857143</v>
      </c>
      <c r="O28" s="124">
        <f t="shared" si="5"/>
        <v>0.63002958421485289</v>
      </c>
      <c r="P28" s="117">
        <f t="shared" si="6"/>
        <v>1.7568977967653363E-2</v>
      </c>
      <c r="X28" s="114">
        <f t="shared" si="0"/>
        <v>0.7142857142857143</v>
      </c>
      <c r="Y28" s="114">
        <f t="shared" si="1"/>
        <v>0.7142857142857143</v>
      </c>
      <c r="Z28" s="114">
        <f t="shared" si="2"/>
        <v>0.63002958421485289</v>
      </c>
      <c r="AA28" s="114">
        <f t="shared" si="3"/>
        <v>8.4256130070861412E-2</v>
      </c>
    </row>
    <row r="29" spans="1:27" x14ac:dyDescent="0.25">
      <c r="A29" s="106" t="s">
        <v>52</v>
      </c>
      <c r="B29" s="107" t="s">
        <v>20</v>
      </c>
      <c r="C29" s="112">
        <v>0.635318885</v>
      </c>
      <c r="D29" s="112">
        <v>0.16322107429024188</v>
      </c>
      <c r="E29" s="112">
        <v>0.20309946946781812</v>
      </c>
      <c r="F29" s="112">
        <v>0.54975350000000001</v>
      </c>
      <c r="G29" s="112">
        <v>0.67059120000000005</v>
      </c>
      <c r="H29" s="113">
        <v>0.4628180819432095</v>
      </c>
      <c r="I29" s="109"/>
      <c r="J29" s="122">
        <v>26</v>
      </c>
      <c r="K29" s="123">
        <f t="shared" si="7"/>
        <v>11.516890180000003</v>
      </c>
      <c r="L29" s="117">
        <f t="shared" si="8"/>
        <v>11.247582700000002</v>
      </c>
      <c r="M29" s="103"/>
      <c r="N29" s="124">
        <f t="shared" si="4"/>
        <v>0.74285714285714288</v>
      </c>
      <c r="O29" s="124">
        <f t="shared" si="5"/>
        <v>0.66094002802322915</v>
      </c>
      <c r="P29" s="117">
        <f t="shared" si="6"/>
        <v>1.8442423031972608E-2</v>
      </c>
      <c r="X29" s="114">
        <f t="shared" si="0"/>
        <v>0.74285714285714288</v>
      </c>
      <c r="Y29" s="114">
        <f t="shared" si="1"/>
        <v>0.74285714285714288</v>
      </c>
      <c r="Z29" s="114">
        <f t="shared" si="2"/>
        <v>0.66094002802322915</v>
      </c>
      <c r="AA29" s="114">
        <f t="shared" si="3"/>
        <v>8.1917114833913729E-2</v>
      </c>
    </row>
    <row r="30" spans="1:27" x14ac:dyDescent="0.25">
      <c r="A30" s="106" t="s">
        <v>61</v>
      </c>
      <c r="B30" s="107" t="s">
        <v>30</v>
      </c>
      <c r="C30" s="112">
        <v>0.58336840500000009</v>
      </c>
      <c r="D30" s="112">
        <v>0.42715464661997848</v>
      </c>
      <c r="E30" s="112">
        <v>0.33803070717100608</v>
      </c>
      <c r="F30" s="112">
        <v>0.55129633999999994</v>
      </c>
      <c r="G30" s="112">
        <v>0.76143040000000006</v>
      </c>
      <c r="H30" s="113">
        <v>0.52023995993832906</v>
      </c>
      <c r="I30" s="109"/>
      <c r="J30" s="122">
        <v>27</v>
      </c>
      <c r="K30" s="123">
        <f t="shared" si="7"/>
        <v>12.066643680000002</v>
      </c>
      <c r="L30" s="117">
        <f t="shared" si="8"/>
        <v>11.791766930000001</v>
      </c>
      <c r="M30" s="103"/>
      <c r="N30" s="124">
        <f t="shared" si="4"/>
        <v>0.77142857142857146</v>
      </c>
      <c r="O30" s="124">
        <f t="shared" si="5"/>
        <v>0.69248969881255917</v>
      </c>
      <c r="P30" s="117">
        <f t="shared" si="6"/>
        <v>1.9334710383368408E-2</v>
      </c>
      <c r="X30" s="114">
        <f t="shared" si="0"/>
        <v>0.77142857142857146</v>
      </c>
      <c r="Y30" s="114">
        <f t="shared" si="1"/>
        <v>0.77142857142857146</v>
      </c>
      <c r="Z30" s="114">
        <f t="shared" si="2"/>
        <v>0.69248969881255917</v>
      </c>
      <c r="AA30" s="114">
        <f t="shared" si="3"/>
        <v>7.893887261601229E-2</v>
      </c>
    </row>
    <row r="31" spans="1:27" x14ac:dyDescent="0.25">
      <c r="A31" s="106" t="s">
        <v>51</v>
      </c>
      <c r="B31" s="107" t="s">
        <v>19</v>
      </c>
      <c r="C31" s="112">
        <v>0.646326505</v>
      </c>
      <c r="D31" s="112">
        <v>0.11212766940128666</v>
      </c>
      <c r="E31" s="112">
        <v>0.20350297279392529</v>
      </c>
      <c r="F31" s="112">
        <v>0.60577861999999993</v>
      </c>
      <c r="G31" s="112">
        <v>0.75237920000000014</v>
      </c>
      <c r="H31" s="113">
        <v>0.49062137319382826</v>
      </c>
      <c r="I31" s="109"/>
      <c r="J31" s="122">
        <v>28</v>
      </c>
      <c r="K31" s="123">
        <f t="shared" si="7"/>
        <v>12.617940020000002</v>
      </c>
      <c r="L31" s="117">
        <f t="shared" si="8"/>
        <v>12.342291850000002</v>
      </c>
      <c r="M31" s="103"/>
      <c r="N31" s="124">
        <f t="shared" si="4"/>
        <v>0.8</v>
      </c>
      <c r="O31" s="124">
        <f t="shared" si="5"/>
        <v>0.7241279112738942</v>
      </c>
      <c r="P31" s="117">
        <f t="shared" si="6"/>
        <v>2.0237394429806484E-2</v>
      </c>
      <c r="X31" s="114">
        <f t="shared" si="0"/>
        <v>0.8</v>
      </c>
      <c r="Y31" s="114">
        <f t="shared" si="1"/>
        <v>0.8</v>
      </c>
      <c r="Z31" s="114">
        <f t="shared" si="2"/>
        <v>0.7241279112738942</v>
      </c>
      <c r="AA31" s="114">
        <f t="shared" si="3"/>
        <v>7.5872088726105846E-2</v>
      </c>
    </row>
    <row r="32" spans="1:27" x14ac:dyDescent="0.25">
      <c r="A32" s="106" t="s">
        <v>60</v>
      </c>
      <c r="B32" s="107" t="s">
        <v>29</v>
      </c>
      <c r="C32" s="112">
        <v>0.50703099500000004</v>
      </c>
      <c r="D32" s="112">
        <v>0.21263304569854968</v>
      </c>
      <c r="E32" s="112">
        <v>0.30589877707239488</v>
      </c>
      <c r="F32" s="112">
        <v>0.62406089999999992</v>
      </c>
      <c r="G32" s="112">
        <v>0.73775600000000008</v>
      </c>
      <c r="H32" s="113">
        <v>0.50022766757436443</v>
      </c>
      <c r="I32" s="109"/>
      <c r="J32" s="122">
        <v>29</v>
      </c>
      <c r="K32" s="123">
        <f t="shared" si="7"/>
        <v>13.223718640000003</v>
      </c>
      <c r="L32" s="117">
        <f t="shared" si="8"/>
        <v>12.920829330000004</v>
      </c>
      <c r="M32" s="103"/>
      <c r="N32" s="124">
        <f t="shared" si="4"/>
        <v>0.82857142857142863</v>
      </c>
      <c r="O32" s="124">
        <f t="shared" si="5"/>
        <v>0.75889279413905963</v>
      </c>
      <c r="P32" s="117">
        <f t="shared" si="6"/>
        <v>2.118601007732792E-2</v>
      </c>
      <c r="X32" s="114">
        <f t="shared" si="0"/>
        <v>0.82857142857142863</v>
      </c>
      <c r="Y32" s="114">
        <f t="shared" si="1"/>
        <v>0.82857142857142863</v>
      </c>
      <c r="Z32" s="114">
        <f t="shared" si="2"/>
        <v>0.75889279413905963</v>
      </c>
      <c r="AA32" s="114">
        <f t="shared" si="3"/>
        <v>6.9678634432368991E-2</v>
      </c>
    </row>
    <row r="33" spans="1:27" x14ac:dyDescent="0.25">
      <c r="A33" s="106" t="s">
        <v>56</v>
      </c>
      <c r="B33" s="107" t="s">
        <v>24</v>
      </c>
      <c r="C33" s="112">
        <v>0.71719686999999999</v>
      </c>
      <c r="D33" s="112">
        <v>0.43259091447014619</v>
      </c>
      <c r="E33" s="112">
        <v>0.33874576788167188</v>
      </c>
      <c r="F33" s="112">
        <v>0.64271577999999996</v>
      </c>
      <c r="G33" s="112">
        <v>0.88886240000000005</v>
      </c>
      <c r="H33" s="113">
        <v>0.59469594032360695</v>
      </c>
      <c r="I33" s="109"/>
      <c r="J33" s="122">
        <v>30</v>
      </c>
      <c r="K33" s="123">
        <f t="shared" si="7"/>
        <v>13.847779540000003</v>
      </c>
      <c r="L33" s="117">
        <f t="shared" si="8"/>
        <v>13.535749090000003</v>
      </c>
      <c r="M33" s="103"/>
      <c r="N33" s="124">
        <f t="shared" si="4"/>
        <v>0.8571428571428571</v>
      </c>
      <c r="O33" s="124">
        <f t="shared" si="5"/>
        <v>0.79470687435408871</v>
      </c>
      <c r="P33" s="117">
        <f t="shared" si="6"/>
        <v>2.2194280978473469E-2</v>
      </c>
      <c r="X33" s="114">
        <f t="shared" si="0"/>
        <v>0.8571428571428571</v>
      </c>
      <c r="Y33" s="114">
        <f t="shared" si="1"/>
        <v>0.8571428571428571</v>
      </c>
      <c r="Z33" s="114">
        <f t="shared" si="2"/>
        <v>0.79470687435408871</v>
      </c>
      <c r="AA33" s="114">
        <f t="shared" si="3"/>
        <v>6.2435982788768385E-2</v>
      </c>
    </row>
    <row r="34" spans="1:27" x14ac:dyDescent="0.25">
      <c r="A34" s="106" t="s">
        <v>49</v>
      </c>
      <c r="B34" s="107" t="s">
        <v>17</v>
      </c>
      <c r="C34" s="112">
        <v>0.64280691999999995</v>
      </c>
      <c r="D34" s="112">
        <v>0.32379486089219434</v>
      </c>
      <c r="E34" s="112">
        <v>0.20976968814918651</v>
      </c>
      <c r="F34" s="112">
        <v>0.66007415999999997</v>
      </c>
      <c r="G34" s="112">
        <v>0.8010948</v>
      </c>
      <c r="H34" s="113">
        <v>0.52892572915593628</v>
      </c>
      <c r="I34" s="109"/>
      <c r="J34" s="122">
        <v>31</v>
      </c>
      <c r="K34" s="123">
        <f t="shared" si="7"/>
        <v>14.490495320000003</v>
      </c>
      <c r="L34" s="117">
        <f t="shared" si="8"/>
        <v>14.169137430000003</v>
      </c>
      <c r="M34" s="103"/>
      <c r="N34" s="124">
        <f t="shared" si="4"/>
        <v>0.88571428571428568</v>
      </c>
      <c r="O34" s="124">
        <f t="shared" si="5"/>
        <v>0.83159153497036042</v>
      </c>
      <c r="P34" s="117">
        <f t="shared" si="6"/>
        <v>2.3232834418920711E-2</v>
      </c>
      <c r="X34" s="114">
        <f t="shared" si="0"/>
        <v>0.88571428571428568</v>
      </c>
      <c r="Y34" s="114">
        <f t="shared" si="1"/>
        <v>0.88571428571428568</v>
      </c>
      <c r="Z34" s="114">
        <f t="shared" si="2"/>
        <v>0.83159153497036042</v>
      </c>
      <c r="AA34" s="114">
        <f t="shared" si="3"/>
        <v>5.4122750743925252E-2</v>
      </c>
    </row>
    <row r="35" spans="1:27" x14ac:dyDescent="0.25">
      <c r="A35" s="106" t="s">
        <v>53</v>
      </c>
      <c r="B35" s="107" t="s">
        <v>21</v>
      </c>
      <c r="C35" s="112">
        <v>0.34382539000000001</v>
      </c>
      <c r="D35" s="112">
        <v>0.11864323886260744</v>
      </c>
      <c r="E35" s="112">
        <v>0.20296315028973874</v>
      </c>
      <c r="F35" s="112">
        <v>0.68231735999999998</v>
      </c>
      <c r="G35" s="112">
        <v>0.67217199999999999</v>
      </c>
      <c r="H35" s="113">
        <v>0.43982035309835932</v>
      </c>
      <c r="I35" s="109"/>
      <c r="J35" s="122">
        <v>32</v>
      </c>
      <c r="K35" s="123">
        <f t="shared" si="7"/>
        <v>15.150569480000003</v>
      </c>
      <c r="L35" s="117">
        <f t="shared" si="8"/>
        <v>14.820532400000003</v>
      </c>
      <c r="M35" s="103"/>
      <c r="N35" s="124">
        <f t="shared" si="4"/>
        <v>0.91428571428571426</v>
      </c>
      <c r="O35" s="124">
        <f t="shared" si="5"/>
        <v>0.86947237146261303</v>
      </c>
      <c r="P35" s="117">
        <f t="shared" si="6"/>
        <v>2.4300912949042488E-2</v>
      </c>
      <c r="X35" s="114">
        <f t="shared" si="0"/>
        <v>0.91428571428571426</v>
      </c>
      <c r="Y35" s="114">
        <f t="shared" si="1"/>
        <v>0.91428571428571426</v>
      </c>
      <c r="Z35" s="114">
        <f t="shared" si="2"/>
        <v>0.86947237146261303</v>
      </c>
      <c r="AA35" s="114">
        <f t="shared" si="3"/>
        <v>4.4813342823101232E-2</v>
      </c>
    </row>
    <row r="36" spans="1:27" x14ac:dyDescent="0.25">
      <c r="A36" s="106" t="s">
        <v>50</v>
      </c>
      <c r="B36" s="107" t="s">
        <v>18</v>
      </c>
      <c r="C36" s="112">
        <v>0.69403934</v>
      </c>
      <c r="D36" s="112">
        <v>0.23468653179393315</v>
      </c>
      <c r="E36" s="112">
        <v>0.36578880114193152</v>
      </c>
      <c r="F36" s="112">
        <v>0.71006698000000001</v>
      </c>
      <c r="G36" s="112">
        <v>0.8177388000000001</v>
      </c>
      <c r="H36" s="113">
        <v>0.59496552500922861</v>
      </c>
      <c r="I36" s="109"/>
      <c r="J36" s="122">
        <v>33</v>
      </c>
      <c r="K36" s="123">
        <f t="shared" si="7"/>
        <v>15.832886840000004</v>
      </c>
      <c r="L36" s="117">
        <f t="shared" si="8"/>
        <v>15.491728160000005</v>
      </c>
      <c r="M36" s="103"/>
      <c r="N36" s="124">
        <f t="shared" si="4"/>
        <v>0.94285714285714284</v>
      </c>
      <c r="O36" s="124">
        <f t="shared" si="5"/>
        <v>0.90862971758563871</v>
      </c>
      <c r="P36" s="117">
        <f t="shared" si="6"/>
        <v>2.5401458414975032E-2</v>
      </c>
      <c r="X36" s="114">
        <f t="shared" si="0"/>
        <v>0.94285714285714284</v>
      </c>
      <c r="Y36" s="114">
        <f t="shared" si="1"/>
        <v>0.94285714285714284</v>
      </c>
      <c r="Z36" s="114">
        <f t="shared" si="2"/>
        <v>0.90862971758563871</v>
      </c>
      <c r="AA36" s="114">
        <f t="shared" si="3"/>
        <v>3.422742527150413E-2</v>
      </c>
    </row>
    <row r="37" spans="1:27" x14ac:dyDescent="0.25">
      <c r="A37" s="106" t="s">
        <v>15</v>
      </c>
      <c r="B37" s="107" t="s">
        <v>16</v>
      </c>
      <c r="C37" s="112">
        <v>0.77779562999999996</v>
      </c>
      <c r="D37" s="112">
        <v>0.58237254460535748</v>
      </c>
      <c r="E37" s="112">
        <v>0.17460559763262029</v>
      </c>
      <c r="F37" s="112">
        <v>0.88206160000000011</v>
      </c>
      <c r="G37" s="112">
        <v>0.90363199999999999</v>
      </c>
      <c r="H37" s="113">
        <v>0.64641076373250206</v>
      </c>
      <c r="I37" s="109"/>
      <c r="J37" s="122">
        <v>34</v>
      </c>
      <c r="K37" s="123">
        <f t="shared" si="7"/>
        <v>16.542953820000005</v>
      </c>
      <c r="L37" s="117">
        <f t="shared" si="8"/>
        <v>16.187920330000004</v>
      </c>
      <c r="M37" s="103"/>
      <c r="N37" s="124">
        <f t="shared" si="4"/>
        <v>0.97142857142857142</v>
      </c>
      <c r="O37" s="124">
        <f t="shared" si="5"/>
        <v>0.94937957994644917</v>
      </c>
      <c r="P37" s="117">
        <f t="shared" si="6"/>
        <v>2.6542989964744121E-2</v>
      </c>
      <c r="X37" s="114">
        <f t="shared" si="0"/>
        <v>0.97142857142857142</v>
      </c>
      <c r="Y37" s="114">
        <f t="shared" si="1"/>
        <v>0.97142857142857142</v>
      </c>
      <c r="Z37" s="114">
        <f t="shared" si="2"/>
        <v>0.94937957994644917</v>
      </c>
      <c r="AA37" s="114">
        <f t="shared" si="3"/>
        <v>2.2048991482122249E-2</v>
      </c>
    </row>
    <row r="38" spans="1:27" x14ac:dyDescent="0.25">
      <c r="J38" s="122">
        <v>35</v>
      </c>
      <c r="K38" s="123">
        <f t="shared" si="7"/>
        <v>17.425015420000005</v>
      </c>
      <c r="L38" s="117">
        <f t="shared" si="8"/>
        <v>16.983984620000005</v>
      </c>
      <c r="M38" s="103"/>
      <c r="N38" s="124">
        <f t="shared" si="4"/>
        <v>1</v>
      </c>
      <c r="O38" s="124">
        <f t="shared" si="5"/>
        <v>1</v>
      </c>
      <c r="P38" s="117">
        <f t="shared" si="6"/>
        <v>2.7848279713520711E-2</v>
      </c>
      <c r="X38" s="114">
        <f t="shared" si="0"/>
        <v>1</v>
      </c>
      <c r="Y38" s="114">
        <f t="shared" si="1"/>
        <v>1</v>
      </c>
      <c r="Z38" s="114">
        <f t="shared" si="2"/>
        <v>1</v>
      </c>
      <c r="AA38" s="114">
        <f t="shared" si="3"/>
        <v>0</v>
      </c>
    </row>
    <row r="39" spans="1:27" x14ac:dyDescent="0.25">
      <c r="L39" s="117">
        <f>SUM(L4:L38)</f>
        <v>263.60525525000003</v>
      </c>
      <c r="P39" s="117">
        <f>SUM(P4:P38)</f>
        <v>0.4322279515910219</v>
      </c>
    </row>
    <row r="41" spans="1:27" x14ac:dyDescent="0.25">
      <c r="K41" s="115" t="s">
        <v>162</v>
      </c>
      <c r="L41" s="115">
        <f>1-(L39/(J38*K38/2))</f>
        <v>0.13554409681795632</v>
      </c>
      <c r="O41" s="115" t="s">
        <v>162</v>
      </c>
      <c r="P41" s="115">
        <f>1-P39/0.5</f>
        <v>0.13554409681795621</v>
      </c>
      <c r="Q41" s="126"/>
    </row>
    <row r="43" spans="1:27" x14ac:dyDescent="0.25">
      <c r="K43" t="s">
        <v>165</v>
      </c>
      <c r="L43">
        <f>(J38*K38/2)-L39</f>
        <v>41.332514600000081</v>
      </c>
    </row>
    <row r="44" spans="1:27" x14ac:dyDescent="0.25">
      <c r="L44">
        <f>L43/(J38*K38/2)</f>
        <v>0.13554409681795626</v>
      </c>
    </row>
    <row r="46" spans="1:27" x14ac:dyDescent="0.25">
      <c r="L46">
        <f>L43/(J38*K38/2)</f>
        <v>0.13554409681795626</v>
      </c>
    </row>
  </sheetData>
  <autoFilter ref="A2:H2" xr:uid="{9C6E2AFD-5DB2-4E78-BEC8-FAAC984501F1}">
    <filterColumn colId="0" showButton="0"/>
    <sortState xmlns:xlrd2="http://schemas.microsoft.com/office/spreadsheetml/2017/richdata2" ref="A3:H37">
      <sortCondition ref="F2"/>
    </sortState>
  </autoFilter>
  <mergeCells count="1">
    <mergeCell ref="A2:B2"/>
  </mergeCells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E8A0E-AAF7-4996-8672-71AAB4A27D3B}">
  <dimension ref="A2:AD46"/>
  <sheetViews>
    <sheetView workbookViewId="0">
      <selection activeCell="B7" sqref="B7"/>
    </sheetView>
  </sheetViews>
  <sheetFormatPr defaultRowHeight="15" x14ac:dyDescent="0.25"/>
  <cols>
    <col min="1" max="1" width="14.28515625" customWidth="1"/>
    <col min="2" max="2" width="16.7109375" customWidth="1"/>
    <col min="3" max="3" width="16.42578125" bestFit="1" customWidth="1"/>
    <col min="4" max="4" width="12.7109375" bestFit="1" customWidth="1"/>
    <col min="5" max="5" width="18" bestFit="1" customWidth="1"/>
    <col min="6" max="6" width="21.7109375" bestFit="1" customWidth="1"/>
    <col min="7" max="7" width="19.7109375" bestFit="1" customWidth="1"/>
    <col min="8" max="8" width="8.85546875" customWidth="1"/>
    <col min="9" max="10" width="8.85546875" style="108" customWidth="1"/>
    <col min="11" max="11" width="15.5703125" customWidth="1"/>
    <col min="12" max="12" width="17.140625" customWidth="1"/>
    <col min="13" max="14" width="15.5703125" customWidth="1"/>
    <col min="15" max="15" width="16.7109375" customWidth="1"/>
    <col min="16" max="17" width="17.85546875" customWidth="1"/>
    <col min="18" max="18" width="14.28515625" customWidth="1"/>
    <col min="19" max="19" width="19.28515625" customWidth="1"/>
    <col min="20" max="39" width="14.28515625" customWidth="1"/>
    <col min="40" max="40" width="10.7109375" bestFit="1" customWidth="1"/>
  </cols>
  <sheetData>
    <row r="2" spans="1:30" x14ac:dyDescent="0.25">
      <c r="A2" s="130" t="s">
        <v>158</v>
      </c>
      <c r="B2" s="130"/>
      <c r="C2" s="2" t="s">
        <v>1</v>
      </c>
      <c r="D2" s="2" t="s">
        <v>6</v>
      </c>
      <c r="E2" s="2" t="s">
        <v>149</v>
      </c>
      <c r="F2" s="2" t="s">
        <v>10</v>
      </c>
      <c r="G2" s="2" t="s">
        <v>150</v>
      </c>
      <c r="H2" s="111" t="s">
        <v>157</v>
      </c>
      <c r="J2" s="119"/>
      <c r="K2" s="120" t="s">
        <v>160</v>
      </c>
      <c r="L2" s="125" t="s">
        <v>163</v>
      </c>
      <c r="N2" s="119"/>
      <c r="O2" s="120" t="s">
        <v>170</v>
      </c>
      <c r="P2" s="125" t="s">
        <v>163</v>
      </c>
      <c r="Q2" s="126"/>
      <c r="R2" s="118"/>
      <c r="S2" s="118" t="s">
        <v>159</v>
      </c>
      <c r="X2" s="126" t="s">
        <v>166</v>
      </c>
      <c r="Y2" s="126" t="s">
        <v>167</v>
      </c>
      <c r="Z2" s="126" t="s">
        <v>168</v>
      </c>
      <c r="AA2" s="126" t="s">
        <v>169</v>
      </c>
      <c r="AC2" s="126"/>
      <c r="AD2" s="126"/>
    </row>
    <row r="3" spans="1:30" x14ac:dyDescent="0.25">
      <c r="A3" s="106" t="s">
        <v>81</v>
      </c>
      <c r="B3" s="107" t="s">
        <v>48</v>
      </c>
      <c r="C3" s="112">
        <v>0.34889432500000006</v>
      </c>
      <c r="D3" s="112">
        <v>7.2632559999999999E-2</v>
      </c>
      <c r="E3" s="112">
        <v>0.33991763409987819</v>
      </c>
      <c r="F3" s="112">
        <v>0.28355032000000002</v>
      </c>
      <c r="G3" s="112">
        <v>0.40665452475811037</v>
      </c>
      <c r="H3" s="113">
        <v>0.31665819618426616</v>
      </c>
      <c r="I3" s="109"/>
      <c r="J3" s="119">
        <v>0</v>
      </c>
      <c r="K3" s="121">
        <v>0</v>
      </c>
      <c r="L3" s="117" t="s">
        <v>164</v>
      </c>
      <c r="N3" s="124">
        <f>J3/$J$38</f>
        <v>0</v>
      </c>
      <c r="O3" s="124">
        <f>K3/$K$38</f>
        <v>0</v>
      </c>
      <c r="P3" s="125" t="s">
        <v>164</v>
      </c>
      <c r="Q3" s="126"/>
      <c r="R3" s="118">
        <v>0</v>
      </c>
      <c r="S3" s="118">
        <v>0</v>
      </c>
      <c r="X3" s="114">
        <f t="shared" ref="X3:X38" si="0">N3</f>
        <v>0</v>
      </c>
      <c r="Y3" s="114">
        <f t="shared" ref="Y3:Y38" si="1">N3</f>
        <v>0</v>
      </c>
      <c r="Z3" s="114">
        <f t="shared" ref="Z3:Z38" si="2">O3</f>
        <v>0</v>
      </c>
      <c r="AA3" s="114">
        <f t="shared" ref="AA3:AA38" si="3">N3-O3</f>
        <v>0</v>
      </c>
    </row>
    <row r="4" spans="1:30" ht="30" x14ac:dyDescent="0.25">
      <c r="A4" s="106" t="s">
        <v>80</v>
      </c>
      <c r="B4" s="107" t="s">
        <v>47</v>
      </c>
      <c r="C4" s="112">
        <v>0.27657685500000001</v>
      </c>
      <c r="D4" s="112">
        <v>0.12385713243684683</v>
      </c>
      <c r="E4" s="112">
        <v>0.35827352991391431</v>
      </c>
      <c r="F4" s="112">
        <v>0.47493014</v>
      </c>
      <c r="G4" s="112">
        <v>0.48520489470688671</v>
      </c>
      <c r="H4" s="113">
        <v>0.37962500398158189</v>
      </c>
      <c r="I4" s="109"/>
      <c r="J4" s="122">
        <v>1</v>
      </c>
      <c r="K4" s="123">
        <f>G3</f>
        <v>0.40665452475811037</v>
      </c>
      <c r="L4" s="117">
        <f>(K4+K3)/2*(J4-J3)</f>
        <v>0.20332726237905518</v>
      </c>
      <c r="M4" s="103"/>
      <c r="N4" s="124">
        <f t="shared" ref="N4:N38" si="4">J4/$J$38</f>
        <v>2.8571428571428571E-2</v>
      </c>
      <c r="O4" s="124">
        <f t="shared" ref="O4:O38" si="5">K4/$K$38</f>
        <v>1.5998446716098961E-2</v>
      </c>
      <c r="P4" s="117">
        <f>(O4+O3)/2*(N4-N3)</f>
        <v>2.2854923880141371E-4</v>
      </c>
      <c r="R4" s="118">
        <v>35</v>
      </c>
      <c r="S4" s="127">
        <f>K38</f>
        <v>25.418375419464997</v>
      </c>
      <c r="X4" s="114">
        <f t="shared" si="0"/>
        <v>2.8571428571428571E-2</v>
      </c>
      <c r="Y4" s="114">
        <f t="shared" si="1"/>
        <v>2.8571428571428571E-2</v>
      </c>
      <c r="Z4" s="114">
        <f t="shared" si="2"/>
        <v>1.5998446716098961E-2</v>
      </c>
      <c r="AA4" s="114">
        <f t="shared" si="3"/>
        <v>1.257298185532961E-2</v>
      </c>
    </row>
    <row r="5" spans="1:30" x14ac:dyDescent="0.25">
      <c r="A5" s="106" t="s">
        <v>74</v>
      </c>
      <c r="B5" s="107" t="s">
        <v>43</v>
      </c>
      <c r="C5" s="112">
        <v>0.63674856000000002</v>
      </c>
      <c r="D5" s="112">
        <v>0.2788653323180233</v>
      </c>
      <c r="E5" s="112">
        <v>0.35858799764312016</v>
      </c>
      <c r="F5" s="112">
        <v>0.40412833999999997</v>
      </c>
      <c r="G5" s="112">
        <v>0.49664640000000004</v>
      </c>
      <c r="H5" s="113">
        <v>0.44487794887079002</v>
      </c>
      <c r="I5" s="109"/>
      <c r="J5" s="122">
        <v>2</v>
      </c>
      <c r="K5" s="123">
        <f>K4+G4</f>
        <v>0.89185941946499714</v>
      </c>
      <c r="L5" s="117">
        <f>(K5+K4)/2*(J5-J4)</f>
        <v>0.64925697211155375</v>
      </c>
      <c r="M5" s="103"/>
      <c r="N5" s="124">
        <f t="shared" si="4"/>
        <v>5.7142857142857141E-2</v>
      </c>
      <c r="O5" s="124">
        <f t="shared" si="5"/>
        <v>3.5087192031243074E-2</v>
      </c>
      <c r="P5" s="117">
        <f t="shared" ref="P5:P38" si="6">(O5+O4)/2*(N5-N4)</f>
        <v>7.2979483924774343E-4</v>
      </c>
      <c r="X5" s="114">
        <f t="shared" si="0"/>
        <v>5.7142857142857141E-2</v>
      </c>
      <c r="Y5" s="114">
        <f t="shared" si="1"/>
        <v>5.7142857142857141E-2</v>
      </c>
      <c r="Z5" s="114">
        <f t="shared" si="2"/>
        <v>3.5087192031243074E-2</v>
      </c>
      <c r="AA5" s="114">
        <f t="shared" si="3"/>
        <v>2.2055665111614067E-2</v>
      </c>
    </row>
    <row r="6" spans="1:30" x14ac:dyDescent="0.25">
      <c r="A6" s="106" t="s">
        <v>71</v>
      </c>
      <c r="B6" s="107" t="s">
        <v>40</v>
      </c>
      <c r="C6" s="112">
        <v>0.44021503499999998</v>
      </c>
      <c r="D6" s="112">
        <v>0.13927330418277856</v>
      </c>
      <c r="E6" s="112">
        <v>0.4816753598058332</v>
      </c>
      <c r="F6" s="112">
        <v>0.46097591999999998</v>
      </c>
      <c r="G6" s="112">
        <v>0.5439676</v>
      </c>
      <c r="H6" s="113">
        <v>0.453265424255754</v>
      </c>
      <c r="I6" s="109"/>
      <c r="J6" s="122">
        <v>3</v>
      </c>
      <c r="K6" s="123">
        <f t="shared" ref="K6:K38" si="7">K5+G5</f>
        <v>1.3885058194649971</v>
      </c>
      <c r="L6" s="117">
        <f t="shared" ref="L6:L38" si="8">(K6+K5)/2*(J6-J5)</f>
        <v>1.1401826194649971</v>
      </c>
      <c r="M6" s="103"/>
      <c r="N6" s="124">
        <f t="shared" si="4"/>
        <v>8.5714285714285715E-2</v>
      </c>
      <c r="O6" s="124">
        <f t="shared" si="5"/>
        <v>5.4626064669801869E-2</v>
      </c>
      <c r="P6" s="117">
        <f t="shared" si="6"/>
        <v>1.2816179528720706E-3</v>
      </c>
      <c r="V6" t="s">
        <v>161</v>
      </c>
      <c r="X6" s="114">
        <f t="shared" si="0"/>
        <v>8.5714285714285715E-2</v>
      </c>
      <c r="Y6" s="114">
        <f t="shared" si="1"/>
        <v>8.5714285714285715E-2</v>
      </c>
      <c r="Z6" s="114">
        <f t="shared" si="2"/>
        <v>5.4626064669801869E-2</v>
      </c>
      <c r="AA6" s="114">
        <f t="shared" si="3"/>
        <v>3.1088221044483846E-2</v>
      </c>
    </row>
    <row r="7" spans="1:30" ht="30" x14ac:dyDescent="0.25">
      <c r="A7" s="106" t="s">
        <v>78</v>
      </c>
      <c r="B7" s="31" t="s">
        <v>172</v>
      </c>
      <c r="C7" s="112">
        <v>0.40036253999999999</v>
      </c>
      <c r="D7" s="112">
        <v>5.0792000000000004E-2</v>
      </c>
      <c r="E7" s="112">
        <v>0.31248449048128879</v>
      </c>
      <c r="F7" s="112">
        <v>0.32356594</v>
      </c>
      <c r="G7" s="112">
        <v>0.54417560000000009</v>
      </c>
      <c r="H7" s="113">
        <v>0.35006655691473731</v>
      </c>
      <c r="I7" s="109"/>
      <c r="J7" s="122">
        <v>4</v>
      </c>
      <c r="K7" s="123">
        <f t="shared" si="7"/>
        <v>1.9324734194649971</v>
      </c>
      <c r="L7" s="117">
        <f t="shared" si="8"/>
        <v>1.6604896194649972</v>
      </c>
      <c r="M7" s="103"/>
      <c r="N7" s="124">
        <f t="shared" si="4"/>
        <v>0.11428571428571428</v>
      </c>
      <c r="O7" s="124">
        <f t="shared" si="5"/>
        <v>7.602662985239958E-2</v>
      </c>
      <c r="P7" s="117">
        <f t="shared" si="6"/>
        <v>1.8664670646028776E-3</v>
      </c>
      <c r="X7" s="114">
        <f t="shared" si="0"/>
        <v>0.11428571428571428</v>
      </c>
      <c r="Y7" s="114">
        <f t="shared" si="1"/>
        <v>0.11428571428571428</v>
      </c>
      <c r="Z7" s="114">
        <f t="shared" si="2"/>
        <v>7.602662985239958E-2</v>
      </c>
      <c r="AA7" s="114">
        <f t="shared" si="3"/>
        <v>3.8259084433314702E-2</v>
      </c>
    </row>
    <row r="8" spans="1:30" x14ac:dyDescent="0.25">
      <c r="A8" s="106" t="s">
        <v>70</v>
      </c>
      <c r="B8" s="107" t="s">
        <v>39</v>
      </c>
      <c r="C8" s="112">
        <v>0.54556700999999996</v>
      </c>
      <c r="D8" s="112">
        <v>0.46555953350458179</v>
      </c>
      <c r="E8" s="112">
        <v>0.11883096141868546</v>
      </c>
      <c r="F8" s="112">
        <v>0.31805712000000003</v>
      </c>
      <c r="G8" s="112">
        <v>0.55180840000000009</v>
      </c>
      <c r="H8" s="113">
        <v>0.35269908955154206</v>
      </c>
      <c r="I8" s="109"/>
      <c r="J8" s="122">
        <v>5</v>
      </c>
      <c r="K8" s="123">
        <f t="shared" si="7"/>
        <v>2.4766490194649973</v>
      </c>
      <c r="L8" s="117">
        <f t="shared" si="8"/>
        <v>2.2045612194649973</v>
      </c>
      <c r="M8" s="103"/>
      <c r="N8" s="124">
        <f t="shared" si="4"/>
        <v>0.14285714285714285</v>
      </c>
      <c r="O8" s="124">
        <f t="shared" si="5"/>
        <v>9.743537809141091E-2</v>
      </c>
      <c r="P8" s="117">
        <f t="shared" si="6"/>
        <v>2.4780286849115781E-3</v>
      </c>
      <c r="R8" s="118"/>
      <c r="S8" s="118" t="s">
        <v>159</v>
      </c>
      <c r="X8" s="114">
        <f t="shared" si="0"/>
        <v>0.14285714285714285</v>
      </c>
      <c r="Y8" s="114">
        <f t="shared" si="1"/>
        <v>0.14285714285714285</v>
      </c>
      <c r="Z8" s="114">
        <f t="shared" si="2"/>
        <v>9.743537809141091E-2</v>
      </c>
      <c r="AA8" s="114">
        <f t="shared" si="3"/>
        <v>4.542176476573194E-2</v>
      </c>
    </row>
    <row r="9" spans="1:30" x14ac:dyDescent="0.25">
      <c r="A9" s="106" t="s">
        <v>79</v>
      </c>
      <c r="B9" s="107" t="s">
        <v>46</v>
      </c>
      <c r="C9" s="112">
        <v>0.50227591999999999</v>
      </c>
      <c r="D9" s="112">
        <v>0.18049262889513421</v>
      </c>
      <c r="E9" s="112">
        <v>0.33916643712932065</v>
      </c>
      <c r="F9" s="112">
        <v>0.4611922</v>
      </c>
      <c r="G9" s="112">
        <v>0.61328959999999999</v>
      </c>
      <c r="H9" s="113">
        <v>0.43902739724554296</v>
      </c>
      <c r="I9" s="109"/>
      <c r="J9" s="122">
        <v>6</v>
      </c>
      <c r="K9" s="123">
        <f t="shared" si="7"/>
        <v>3.0284574194649974</v>
      </c>
      <c r="L9" s="117">
        <f t="shared" si="8"/>
        <v>2.7525532194649971</v>
      </c>
      <c r="M9" s="103"/>
      <c r="N9" s="124">
        <f t="shared" si="4"/>
        <v>0.17142857142857143</v>
      </c>
      <c r="O9" s="124">
        <f t="shared" si="5"/>
        <v>0.11914441302750811</v>
      </c>
      <c r="P9" s="117">
        <f t="shared" si="6"/>
        <v>3.0939970159845581E-3</v>
      </c>
      <c r="R9" s="118">
        <v>0</v>
      </c>
      <c r="S9" s="128">
        <v>0</v>
      </c>
      <c r="X9" s="114">
        <f t="shared" si="0"/>
        <v>0.17142857142857143</v>
      </c>
      <c r="Y9" s="114">
        <f t="shared" si="1"/>
        <v>0.17142857142857143</v>
      </c>
      <c r="Z9" s="114">
        <f t="shared" si="2"/>
        <v>0.11914441302750811</v>
      </c>
      <c r="AA9" s="114">
        <f t="shared" si="3"/>
        <v>5.2284158401063319E-2</v>
      </c>
    </row>
    <row r="10" spans="1:30" x14ac:dyDescent="0.25">
      <c r="A10" s="106" t="s">
        <v>171</v>
      </c>
      <c r="B10" s="107" t="s">
        <v>28</v>
      </c>
      <c r="C10" s="112">
        <v>0.66450627000000007</v>
      </c>
      <c r="D10" s="112">
        <v>0.38792094466935201</v>
      </c>
      <c r="E10" s="112">
        <v>0.36472279992584322</v>
      </c>
      <c r="F10" s="112">
        <v>0.47654293999999997</v>
      </c>
      <c r="G10" s="112">
        <v>0.63217120000000004</v>
      </c>
      <c r="H10" s="113">
        <v>0.50084835873235634</v>
      </c>
      <c r="I10" s="109"/>
      <c r="J10" s="122">
        <v>7</v>
      </c>
      <c r="K10" s="123">
        <f t="shared" si="7"/>
        <v>3.6417470194649972</v>
      </c>
      <c r="L10" s="117">
        <f t="shared" si="8"/>
        <v>3.3351022194649973</v>
      </c>
      <c r="M10" s="103"/>
      <c r="N10" s="124">
        <f t="shared" si="4"/>
        <v>0.2</v>
      </c>
      <c r="O10" s="124">
        <f t="shared" si="5"/>
        <v>0.14327221780964822</v>
      </c>
      <c r="P10" s="117">
        <f t="shared" si="6"/>
        <v>3.7488090119593776E-3</v>
      </c>
      <c r="R10" s="118">
        <v>1</v>
      </c>
      <c r="S10" s="129">
        <v>1</v>
      </c>
      <c r="X10" s="114">
        <f t="shared" si="0"/>
        <v>0.2</v>
      </c>
      <c r="Y10" s="114">
        <f t="shared" si="1"/>
        <v>0.2</v>
      </c>
      <c r="Z10" s="114">
        <f t="shared" si="2"/>
        <v>0.14327221780964822</v>
      </c>
      <c r="AA10" s="114">
        <f t="shared" si="3"/>
        <v>5.6727782190351794E-2</v>
      </c>
    </row>
    <row r="11" spans="1:30" x14ac:dyDescent="0.25">
      <c r="A11" s="106" t="s">
        <v>73</v>
      </c>
      <c r="B11" s="107" t="s">
        <v>42</v>
      </c>
      <c r="C11" s="112">
        <v>0.67786735499999995</v>
      </c>
      <c r="D11" s="112">
        <v>0.32567025708735281</v>
      </c>
      <c r="E11" s="112">
        <v>0.11852621501729108</v>
      </c>
      <c r="F11" s="112">
        <v>0.26207216</v>
      </c>
      <c r="G11" s="112">
        <v>0.65295520000000007</v>
      </c>
      <c r="H11" s="113">
        <v>0.36836050530003817</v>
      </c>
      <c r="I11" s="109"/>
      <c r="J11" s="122">
        <v>8</v>
      </c>
      <c r="K11" s="123">
        <f t="shared" si="7"/>
        <v>4.2739182194649974</v>
      </c>
      <c r="L11" s="117">
        <f t="shared" si="8"/>
        <v>3.9578326194649973</v>
      </c>
      <c r="M11" s="103"/>
      <c r="N11" s="124">
        <f t="shared" si="4"/>
        <v>0.22857142857142856</v>
      </c>
      <c r="O11" s="124">
        <f t="shared" si="5"/>
        <v>0.16814285527438144</v>
      </c>
      <c r="P11" s="117">
        <f t="shared" si="6"/>
        <v>4.4487867583432776E-3</v>
      </c>
      <c r="X11" s="114">
        <f t="shared" si="0"/>
        <v>0.22857142857142856</v>
      </c>
      <c r="Y11" s="114">
        <f t="shared" si="1"/>
        <v>0.22857142857142856</v>
      </c>
      <c r="Z11" s="114">
        <f t="shared" si="2"/>
        <v>0.16814285527438144</v>
      </c>
      <c r="AA11" s="114">
        <f t="shared" si="3"/>
        <v>6.0428573297047122E-2</v>
      </c>
    </row>
    <row r="12" spans="1:30" x14ac:dyDescent="0.25">
      <c r="A12" s="106" t="s">
        <v>52</v>
      </c>
      <c r="B12" s="107" t="s">
        <v>20</v>
      </c>
      <c r="C12" s="112">
        <v>0.635318885</v>
      </c>
      <c r="D12" s="112">
        <v>0.16322107429024188</v>
      </c>
      <c r="E12" s="112">
        <v>0.20309946946781812</v>
      </c>
      <c r="F12" s="112">
        <v>0.54975350000000001</v>
      </c>
      <c r="G12" s="112">
        <v>0.67059120000000005</v>
      </c>
      <c r="H12" s="113">
        <v>0.4628180819432095</v>
      </c>
      <c r="I12" s="109"/>
      <c r="J12" s="122">
        <v>9</v>
      </c>
      <c r="K12" s="123">
        <f t="shared" si="7"/>
        <v>4.9268734194649975</v>
      </c>
      <c r="L12" s="117">
        <f t="shared" si="8"/>
        <v>4.6003958194649979</v>
      </c>
      <c r="M12" s="103"/>
      <c r="N12" s="124">
        <f t="shared" si="4"/>
        <v>0.25714285714285712</v>
      </c>
      <c r="O12" s="124">
        <f t="shared" si="5"/>
        <v>0.19383116891459848</v>
      </c>
      <c r="P12" s="117">
        <f t="shared" si="6"/>
        <v>5.1710574884139956E-3</v>
      </c>
      <c r="X12" s="114">
        <f t="shared" si="0"/>
        <v>0.25714285714285712</v>
      </c>
      <c r="Y12" s="114">
        <f t="shared" si="1"/>
        <v>0.25714285714285712</v>
      </c>
      <c r="Z12" s="114">
        <f t="shared" si="2"/>
        <v>0.19383116891459848</v>
      </c>
      <c r="AA12" s="114">
        <f t="shared" si="3"/>
        <v>6.3311688228258639E-2</v>
      </c>
    </row>
    <row r="13" spans="1:30" x14ac:dyDescent="0.25">
      <c r="A13" s="106" t="s">
        <v>72</v>
      </c>
      <c r="B13" s="107" t="s">
        <v>41</v>
      </c>
      <c r="C13" s="112">
        <v>0.37886684500000001</v>
      </c>
      <c r="D13" s="112">
        <v>0.11582386566916616</v>
      </c>
      <c r="E13" s="112">
        <v>0.26832282215401948</v>
      </c>
      <c r="F13" s="112">
        <v>0.52677059999999998</v>
      </c>
      <c r="G13" s="112">
        <v>0.67188040000000004</v>
      </c>
      <c r="H13" s="113">
        <v>0.41766985201083279</v>
      </c>
      <c r="I13" s="109"/>
      <c r="J13" s="122">
        <v>10</v>
      </c>
      <c r="K13" s="123">
        <f t="shared" si="7"/>
        <v>5.5974646194649971</v>
      </c>
      <c r="L13" s="117">
        <f t="shared" si="8"/>
        <v>5.2621690194649968</v>
      </c>
      <c r="M13" s="103"/>
      <c r="N13" s="124">
        <f t="shared" si="4"/>
        <v>0.2857142857142857</v>
      </c>
      <c r="O13" s="124">
        <f t="shared" si="5"/>
        <v>0.22021331131880859</v>
      </c>
      <c r="P13" s="117">
        <f t="shared" si="6"/>
        <v>5.9149211461915312E-3</v>
      </c>
      <c r="X13" s="114">
        <f t="shared" si="0"/>
        <v>0.2857142857142857</v>
      </c>
      <c r="Y13" s="114">
        <f t="shared" si="1"/>
        <v>0.2857142857142857</v>
      </c>
      <c r="Z13" s="114">
        <f t="shared" si="2"/>
        <v>0.22021331131880859</v>
      </c>
      <c r="AA13" s="114">
        <f t="shared" si="3"/>
        <v>6.5500974395477113E-2</v>
      </c>
    </row>
    <row r="14" spans="1:30" x14ac:dyDescent="0.25">
      <c r="A14" s="106" t="s">
        <v>53</v>
      </c>
      <c r="B14" s="107" t="s">
        <v>21</v>
      </c>
      <c r="C14" s="112">
        <v>0.34382539000000001</v>
      </c>
      <c r="D14" s="112">
        <v>0.11864323886260744</v>
      </c>
      <c r="E14" s="112">
        <v>0.20296315028973874</v>
      </c>
      <c r="F14" s="112">
        <v>0.68231735999999998</v>
      </c>
      <c r="G14" s="112">
        <v>0.67217199999999999</v>
      </c>
      <c r="H14" s="113">
        <v>0.43982035309835932</v>
      </c>
      <c r="I14" s="109"/>
      <c r="J14" s="122">
        <v>11</v>
      </c>
      <c r="K14" s="123">
        <f t="shared" si="7"/>
        <v>6.2693450194649971</v>
      </c>
      <c r="L14" s="117">
        <f t="shared" si="8"/>
        <v>5.9334048194649966</v>
      </c>
      <c r="M14" s="103"/>
      <c r="N14" s="124">
        <f t="shared" si="4"/>
        <v>0.31428571428571428</v>
      </c>
      <c r="O14" s="124">
        <f t="shared" si="5"/>
        <v>0.24664617293613619</v>
      </c>
      <c r="P14" s="117">
        <f t="shared" si="6"/>
        <v>6.6694212036420703E-3</v>
      </c>
      <c r="X14" s="114">
        <f t="shared" si="0"/>
        <v>0.31428571428571428</v>
      </c>
      <c r="Y14" s="114">
        <f t="shared" si="1"/>
        <v>0.31428571428571428</v>
      </c>
      <c r="Z14" s="114">
        <f t="shared" si="2"/>
        <v>0.24664617293613619</v>
      </c>
      <c r="AA14" s="114">
        <f t="shared" si="3"/>
        <v>6.7639541349578086E-2</v>
      </c>
    </row>
    <row r="15" spans="1:30" x14ac:dyDescent="0.25">
      <c r="A15" s="106" t="s">
        <v>75</v>
      </c>
      <c r="B15" s="107" t="s">
        <v>96</v>
      </c>
      <c r="C15" s="112">
        <v>0.36000341999999996</v>
      </c>
      <c r="D15" s="112">
        <v>0.2155323159086025</v>
      </c>
      <c r="E15" s="112">
        <v>0.38374293766269163</v>
      </c>
      <c r="F15" s="112">
        <v>0.40998915999999996</v>
      </c>
      <c r="G15" s="112">
        <v>0.6763344</v>
      </c>
      <c r="H15" s="113">
        <v>0.41744644389701502</v>
      </c>
      <c r="I15" s="109"/>
      <c r="J15" s="122">
        <v>12</v>
      </c>
      <c r="K15" s="123">
        <f t="shared" si="7"/>
        <v>6.9415170194649969</v>
      </c>
      <c r="L15" s="117">
        <f t="shared" si="8"/>
        <v>6.605431019464997</v>
      </c>
      <c r="M15" s="103"/>
      <c r="N15" s="124">
        <f t="shared" si="4"/>
        <v>0.34285714285714286</v>
      </c>
      <c r="O15" s="124">
        <f t="shared" si="5"/>
        <v>0.27309050656908984</v>
      </c>
      <c r="P15" s="117">
        <f t="shared" si="6"/>
        <v>7.4248097072175173E-3</v>
      </c>
      <c r="X15" s="114">
        <f t="shared" si="0"/>
        <v>0.34285714285714286</v>
      </c>
      <c r="Y15" s="114">
        <f t="shared" si="1"/>
        <v>0.34285714285714286</v>
      </c>
      <c r="Z15" s="114">
        <f t="shared" si="2"/>
        <v>0.27309050656908984</v>
      </c>
      <c r="AA15" s="114">
        <f t="shared" si="3"/>
        <v>6.9766636288053019E-2</v>
      </c>
    </row>
    <row r="16" spans="1:30" x14ac:dyDescent="0.25">
      <c r="A16" s="106" t="s">
        <v>76</v>
      </c>
      <c r="B16" s="107" t="s">
        <v>44</v>
      </c>
      <c r="C16" s="112">
        <v>0.522958645</v>
      </c>
      <c r="D16" s="112">
        <v>0.22210951998596482</v>
      </c>
      <c r="E16" s="112">
        <v>0.3262218992927256</v>
      </c>
      <c r="F16" s="112">
        <v>0.51269586</v>
      </c>
      <c r="G16" s="112">
        <v>0.6952252000000001</v>
      </c>
      <c r="H16" s="113">
        <v>0.46980301761587107</v>
      </c>
      <c r="I16" s="109"/>
      <c r="J16" s="122">
        <v>13</v>
      </c>
      <c r="K16" s="123">
        <f t="shared" si="7"/>
        <v>7.6178514194649969</v>
      </c>
      <c r="L16" s="117">
        <f t="shared" si="8"/>
        <v>7.2796842194649969</v>
      </c>
      <c r="M16" s="103"/>
      <c r="N16" s="124">
        <f t="shared" si="4"/>
        <v>0.37142857142857144</v>
      </c>
      <c r="O16" s="124">
        <f t="shared" si="5"/>
        <v>0.29969859575019747</v>
      </c>
      <c r="P16" s="117">
        <f t="shared" si="6"/>
        <v>8.1827014617041061E-3</v>
      </c>
      <c r="X16" s="114">
        <f t="shared" si="0"/>
        <v>0.37142857142857144</v>
      </c>
      <c r="Y16" s="114">
        <f t="shared" si="1"/>
        <v>0.37142857142857144</v>
      </c>
      <c r="Z16" s="114">
        <f t="shared" si="2"/>
        <v>0.29969859575019747</v>
      </c>
      <c r="AA16" s="114">
        <f t="shared" si="3"/>
        <v>7.1729975678373969E-2</v>
      </c>
    </row>
    <row r="17" spans="1:27" x14ac:dyDescent="0.25">
      <c r="A17" s="106" t="s">
        <v>64</v>
      </c>
      <c r="B17" s="107" t="s">
        <v>33</v>
      </c>
      <c r="C17" s="112">
        <v>0.55357906000000001</v>
      </c>
      <c r="D17" s="112">
        <v>0.35095400120610676</v>
      </c>
      <c r="E17" s="112">
        <v>0.16837770213691144</v>
      </c>
      <c r="F17" s="112">
        <v>0.46570116000000006</v>
      </c>
      <c r="G17" s="112">
        <v>0.69888680000000003</v>
      </c>
      <c r="H17" s="113">
        <v>0.4266998851134447</v>
      </c>
      <c r="I17" s="109"/>
      <c r="J17" s="122">
        <v>14</v>
      </c>
      <c r="K17" s="123">
        <f t="shared" si="7"/>
        <v>8.3130766194649972</v>
      </c>
      <c r="L17" s="117">
        <f t="shared" si="8"/>
        <v>7.9654640194649975</v>
      </c>
      <c r="M17" s="103"/>
      <c r="N17" s="124">
        <f t="shared" si="4"/>
        <v>0.4</v>
      </c>
      <c r="O17" s="124">
        <f t="shared" si="5"/>
        <v>0.32704987955677811</v>
      </c>
      <c r="P17" s="117">
        <f t="shared" si="6"/>
        <v>8.9535496472425129E-3</v>
      </c>
      <c r="X17" s="114">
        <f t="shared" si="0"/>
        <v>0.4</v>
      </c>
      <c r="Y17" s="114">
        <f t="shared" si="1"/>
        <v>0.4</v>
      </c>
      <c r="Z17" s="114">
        <f t="shared" si="2"/>
        <v>0.32704987955677811</v>
      </c>
      <c r="AA17" s="114">
        <f t="shared" si="3"/>
        <v>7.2950120443221911E-2</v>
      </c>
    </row>
    <row r="18" spans="1:27" x14ac:dyDescent="0.25">
      <c r="A18" s="106" t="s">
        <v>62</v>
      </c>
      <c r="B18" s="107" t="s">
        <v>31</v>
      </c>
      <c r="C18" s="112">
        <v>0.69076873500000002</v>
      </c>
      <c r="D18" s="112">
        <v>0.49108710798430022</v>
      </c>
      <c r="E18" s="112">
        <v>0.12990184040924591</v>
      </c>
      <c r="F18" s="112">
        <v>0.38091464000000003</v>
      </c>
      <c r="G18" s="112">
        <v>0.70731440000000012</v>
      </c>
      <c r="H18" s="113">
        <v>0.42899950250308572</v>
      </c>
      <c r="I18" s="109"/>
      <c r="J18" s="122">
        <v>15</v>
      </c>
      <c r="K18" s="123">
        <f t="shared" si="7"/>
        <v>9.0119634194649976</v>
      </c>
      <c r="L18" s="117">
        <f t="shared" si="8"/>
        <v>8.6625200194649974</v>
      </c>
      <c r="M18" s="103"/>
      <c r="N18" s="124">
        <f t="shared" si="4"/>
        <v>0.42857142857142855</v>
      </c>
      <c r="O18" s="124">
        <f t="shared" si="5"/>
        <v>0.35454521662953237</v>
      </c>
      <c r="P18" s="117">
        <f t="shared" si="6"/>
        <v>9.7370728026615616E-3</v>
      </c>
      <c r="X18" s="114">
        <f t="shared" si="0"/>
        <v>0.42857142857142855</v>
      </c>
      <c r="Y18" s="114">
        <f t="shared" si="1"/>
        <v>0.42857142857142855</v>
      </c>
      <c r="Z18" s="114">
        <f t="shared" si="2"/>
        <v>0.35454521662953237</v>
      </c>
      <c r="AA18" s="114">
        <f t="shared" si="3"/>
        <v>7.4026211941896181E-2</v>
      </c>
    </row>
    <row r="19" spans="1:27" x14ac:dyDescent="0.25">
      <c r="A19" s="106" t="s">
        <v>60</v>
      </c>
      <c r="B19" s="107" t="s">
        <v>29</v>
      </c>
      <c r="C19" s="112">
        <v>0.50703099500000004</v>
      </c>
      <c r="D19" s="112">
        <v>0.21263304569854968</v>
      </c>
      <c r="E19" s="112">
        <v>0.30589877707239488</v>
      </c>
      <c r="F19" s="112">
        <v>0.62406089999999992</v>
      </c>
      <c r="G19" s="112">
        <v>0.73775600000000008</v>
      </c>
      <c r="H19" s="113">
        <v>0.50022766757436443</v>
      </c>
      <c r="I19" s="109"/>
      <c r="J19" s="122">
        <v>16</v>
      </c>
      <c r="K19" s="123">
        <f t="shared" si="7"/>
        <v>9.7192778194649971</v>
      </c>
      <c r="L19" s="117">
        <f t="shared" si="8"/>
        <v>9.3656206194649982</v>
      </c>
      <c r="M19" s="103"/>
      <c r="N19" s="124">
        <f t="shared" si="4"/>
        <v>0.45714285714285713</v>
      </c>
      <c r="O19" s="124">
        <f t="shared" si="5"/>
        <v>0.38237210911686059</v>
      </c>
      <c r="P19" s="117">
        <f t="shared" si="6"/>
        <v>1.0527390367805619E-2</v>
      </c>
      <c r="X19" s="114">
        <f t="shared" si="0"/>
        <v>0.45714285714285713</v>
      </c>
      <c r="Y19" s="114">
        <f t="shared" si="1"/>
        <v>0.45714285714285713</v>
      </c>
      <c r="Z19" s="114">
        <f t="shared" si="2"/>
        <v>0.38237210911686059</v>
      </c>
      <c r="AA19" s="114">
        <f t="shared" si="3"/>
        <v>7.4770748025996536E-2</v>
      </c>
    </row>
    <row r="20" spans="1:27" x14ac:dyDescent="0.25">
      <c r="A20" s="106" t="s">
        <v>51</v>
      </c>
      <c r="B20" s="107" t="s">
        <v>19</v>
      </c>
      <c r="C20" s="112">
        <v>0.646326505</v>
      </c>
      <c r="D20" s="112">
        <v>0.11212766940128666</v>
      </c>
      <c r="E20" s="112">
        <v>0.20350297279392529</v>
      </c>
      <c r="F20" s="112">
        <v>0.60577861999999993</v>
      </c>
      <c r="G20" s="112">
        <v>0.75237920000000014</v>
      </c>
      <c r="H20" s="113">
        <v>0.49062137319382826</v>
      </c>
      <c r="I20" s="109"/>
      <c r="J20" s="122">
        <v>17</v>
      </c>
      <c r="K20" s="123">
        <f t="shared" si="7"/>
        <v>10.457033819464996</v>
      </c>
      <c r="L20" s="117">
        <f t="shared" si="8"/>
        <v>10.088155819464998</v>
      </c>
      <c r="M20" s="103"/>
      <c r="N20" s="124">
        <f t="shared" si="4"/>
        <v>0.48571428571428571</v>
      </c>
      <c r="O20" s="124">
        <f t="shared" si="5"/>
        <v>0.41139662338361571</v>
      </c>
      <c r="P20" s="117">
        <f t="shared" si="6"/>
        <v>1.1339553321435379E-2</v>
      </c>
      <c r="X20" s="114">
        <f t="shared" si="0"/>
        <v>0.48571428571428571</v>
      </c>
      <c r="Y20" s="114">
        <f t="shared" si="1"/>
        <v>0.48571428571428571</v>
      </c>
      <c r="Z20" s="114">
        <f t="shared" si="2"/>
        <v>0.41139662338361571</v>
      </c>
      <c r="AA20" s="114">
        <f t="shared" si="3"/>
        <v>7.4317662330669998E-2</v>
      </c>
    </row>
    <row r="21" spans="1:27" x14ac:dyDescent="0.25">
      <c r="A21" s="106" t="s">
        <v>61</v>
      </c>
      <c r="B21" s="107" t="s">
        <v>30</v>
      </c>
      <c r="C21" s="112">
        <v>0.58336840500000009</v>
      </c>
      <c r="D21" s="112">
        <v>0.42715464661997848</v>
      </c>
      <c r="E21" s="112">
        <v>0.33803070717100608</v>
      </c>
      <c r="F21" s="112">
        <v>0.55129633999999994</v>
      </c>
      <c r="G21" s="112">
        <v>0.76143040000000006</v>
      </c>
      <c r="H21" s="113">
        <v>0.52023995993832906</v>
      </c>
      <c r="I21" s="109"/>
      <c r="J21" s="122">
        <v>18</v>
      </c>
      <c r="K21" s="123">
        <f t="shared" si="7"/>
        <v>11.209413019464996</v>
      </c>
      <c r="L21" s="117">
        <f t="shared" si="8"/>
        <v>10.833223419464996</v>
      </c>
      <c r="M21" s="103"/>
      <c r="N21" s="124">
        <f t="shared" si="4"/>
        <v>0.51428571428571423</v>
      </c>
      <c r="O21" s="124">
        <f t="shared" si="5"/>
        <v>0.44099643798954208</v>
      </c>
      <c r="P21" s="117">
        <f t="shared" si="6"/>
        <v>1.2177043733902236E-2</v>
      </c>
      <c r="X21" s="114">
        <f t="shared" si="0"/>
        <v>0.51428571428571423</v>
      </c>
      <c r="Y21" s="114">
        <f t="shared" si="1"/>
        <v>0.51428571428571423</v>
      </c>
      <c r="Z21" s="114">
        <f t="shared" si="2"/>
        <v>0.44099643798954208</v>
      </c>
      <c r="AA21" s="114">
        <f t="shared" si="3"/>
        <v>7.3289276296172157E-2</v>
      </c>
    </row>
    <row r="22" spans="1:27" x14ac:dyDescent="0.25">
      <c r="A22" s="106" t="s">
        <v>77</v>
      </c>
      <c r="B22" s="107" t="s">
        <v>45</v>
      </c>
      <c r="C22" s="112">
        <v>0.28688462999999997</v>
      </c>
      <c r="D22" s="112">
        <v>2.1049952668659951E-2</v>
      </c>
      <c r="E22" s="112">
        <v>0.28456926448536063</v>
      </c>
      <c r="F22" s="112">
        <v>0.43910988000000001</v>
      </c>
      <c r="G22" s="112">
        <v>0.77070440000000007</v>
      </c>
      <c r="H22" s="113">
        <v>0.38416217429624377</v>
      </c>
      <c r="I22" s="109"/>
      <c r="J22" s="122">
        <v>19</v>
      </c>
      <c r="K22" s="123">
        <f t="shared" si="7"/>
        <v>11.970843419464996</v>
      </c>
      <c r="L22" s="117">
        <f t="shared" si="8"/>
        <v>11.590128219464997</v>
      </c>
      <c r="M22" s="103"/>
      <c r="N22" s="124">
        <f t="shared" si="4"/>
        <v>0.54285714285714282</v>
      </c>
      <c r="O22" s="124">
        <f t="shared" si="5"/>
        <v>0.47095234144263642</v>
      </c>
      <c r="P22" s="117">
        <f t="shared" si="6"/>
        <v>1.3027839706173983E-2</v>
      </c>
      <c r="X22" s="114">
        <f t="shared" si="0"/>
        <v>0.54285714285714282</v>
      </c>
      <c r="Y22" s="114">
        <f t="shared" si="1"/>
        <v>0.54285714285714282</v>
      </c>
      <c r="Z22" s="114">
        <f t="shared" si="2"/>
        <v>0.47095234144263642</v>
      </c>
      <c r="AA22" s="114">
        <f t="shared" si="3"/>
        <v>7.1904801414506392E-2</v>
      </c>
    </row>
    <row r="23" spans="1:27" ht="17.25" customHeight="1" x14ac:dyDescent="0.25">
      <c r="A23" s="106" t="s">
        <v>65</v>
      </c>
      <c r="B23" s="107" t="s">
        <v>34</v>
      </c>
      <c r="C23" s="112">
        <v>0.6593966</v>
      </c>
      <c r="D23" s="112">
        <v>0.40651641000637417</v>
      </c>
      <c r="E23" s="112">
        <v>0.33518155871341482</v>
      </c>
      <c r="F23" s="112">
        <v>0.46033992000000001</v>
      </c>
      <c r="G23" s="112">
        <v>0.79421520000000001</v>
      </c>
      <c r="H23" s="113">
        <v>0.51084441544170367</v>
      </c>
      <c r="I23" s="109"/>
      <c r="J23" s="122">
        <v>20</v>
      </c>
      <c r="K23" s="123">
        <f t="shared" si="7"/>
        <v>12.741547819464996</v>
      </c>
      <c r="L23" s="117">
        <f t="shared" si="8"/>
        <v>12.356195619464996</v>
      </c>
      <c r="M23" s="103"/>
      <c r="N23" s="124">
        <f t="shared" si="4"/>
        <v>0.5714285714285714</v>
      </c>
      <c r="O23" s="124">
        <f t="shared" si="5"/>
        <v>0.50127309905524953</v>
      </c>
      <c r="P23" s="117">
        <f t="shared" si="6"/>
        <v>1.3888934864255518E-2</v>
      </c>
      <c r="X23" s="114">
        <f t="shared" si="0"/>
        <v>0.5714285714285714</v>
      </c>
      <c r="Y23" s="114">
        <f t="shared" si="1"/>
        <v>0.5714285714285714</v>
      </c>
      <c r="Z23" s="114">
        <f t="shared" si="2"/>
        <v>0.50127309905524953</v>
      </c>
      <c r="AA23" s="114">
        <f t="shared" si="3"/>
        <v>7.015547237332187E-2</v>
      </c>
    </row>
    <row r="24" spans="1:27" x14ac:dyDescent="0.25">
      <c r="A24" s="106" t="s">
        <v>59</v>
      </c>
      <c r="B24" s="107" t="s">
        <v>27</v>
      </c>
      <c r="C24" s="112">
        <v>0.66246691000000002</v>
      </c>
      <c r="D24" s="112">
        <v>0.31718616189744087</v>
      </c>
      <c r="E24" s="112">
        <v>0.36551260596193563</v>
      </c>
      <c r="F24" s="112">
        <v>0.51571212</v>
      </c>
      <c r="G24" s="112">
        <v>0.79456000000000016</v>
      </c>
      <c r="H24" s="113">
        <v>0.53107689983453266</v>
      </c>
      <c r="I24" s="109"/>
      <c r="J24" s="122">
        <v>21</v>
      </c>
      <c r="K24" s="123">
        <f t="shared" si="7"/>
        <v>13.535763019464996</v>
      </c>
      <c r="L24" s="117">
        <f t="shared" si="8"/>
        <v>13.138655419464996</v>
      </c>
      <c r="M24" s="103"/>
      <c r="N24" s="124">
        <f t="shared" si="4"/>
        <v>0.6</v>
      </c>
      <c r="O24" s="124">
        <f t="shared" si="5"/>
        <v>0.53251880956559949</v>
      </c>
      <c r="P24" s="117">
        <f t="shared" si="6"/>
        <v>1.4768455837440707E-2</v>
      </c>
      <c r="X24" s="114">
        <f t="shared" si="0"/>
        <v>0.6</v>
      </c>
      <c r="Y24" s="114">
        <f t="shared" si="1"/>
        <v>0.6</v>
      </c>
      <c r="Z24" s="114">
        <f t="shared" si="2"/>
        <v>0.53251880956559949</v>
      </c>
      <c r="AA24" s="114">
        <f t="shared" si="3"/>
        <v>6.7481190434400484E-2</v>
      </c>
    </row>
    <row r="25" spans="1:27" x14ac:dyDescent="0.25">
      <c r="A25" s="106" t="s">
        <v>57</v>
      </c>
      <c r="B25" s="107" t="s">
        <v>25</v>
      </c>
      <c r="C25" s="112">
        <v>0.64761148499999999</v>
      </c>
      <c r="D25" s="112">
        <v>0.56523878880686684</v>
      </c>
      <c r="E25" s="112">
        <v>0.36124299881999994</v>
      </c>
      <c r="F25" s="112">
        <v>0.45037382000000004</v>
      </c>
      <c r="G25" s="112">
        <v>0.79489960000000004</v>
      </c>
      <c r="H25" s="113">
        <v>0.52306134183949382</v>
      </c>
      <c r="I25" s="109"/>
      <c r="J25" s="122">
        <v>22</v>
      </c>
      <c r="K25" s="123">
        <f t="shared" si="7"/>
        <v>14.330323019464997</v>
      </c>
      <c r="L25" s="117">
        <f t="shared" si="8"/>
        <v>13.933043019464996</v>
      </c>
      <c r="M25" s="103"/>
      <c r="N25" s="124">
        <f t="shared" si="4"/>
        <v>0.62857142857142856</v>
      </c>
      <c r="O25" s="124">
        <f t="shared" si="5"/>
        <v>0.56377808506561977</v>
      </c>
      <c r="P25" s="117">
        <f t="shared" si="6"/>
        <v>1.5661384209017422E-2</v>
      </c>
      <c r="X25" s="114">
        <f t="shared" si="0"/>
        <v>0.62857142857142856</v>
      </c>
      <c r="Y25" s="114">
        <f t="shared" si="1"/>
        <v>0.62857142857142856</v>
      </c>
      <c r="Z25" s="114">
        <f t="shared" si="2"/>
        <v>0.56377808506561977</v>
      </c>
      <c r="AA25" s="114">
        <f t="shared" si="3"/>
        <v>6.4793343505808787E-2</v>
      </c>
    </row>
    <row r="26" spans="1:27" x14ac:dyDescent="0.25">
      <c r="A26" s="106" t="s">
        <v>49</v>
      </c>
      <c r="B26" s="107" t="s">
        <v>17</v>
      </c>
      <c r="C26" s="112">
        <v>0.64280691999999995</v>
      </c>
      <c r="D26" s="112">
        <v>0.32379486089219434</v>
      </c>
      <c r="E26" s="112">
        <v>0.20976968814918651</v>
      </c>
      <c r="F26" s="112">
        <v>0.66007415999999997</v>
      </c>
      <c r="G26" s="112">
        <v>0.8010948</v>
      </c>
      <c r="H26" s="113">
        <v>0.52892572915593628</v>
      </c>
      <c r="I26" s="109"/>
      <c r="J26" s="122">
        <v>23</v>
      </c>
      <c r="K26" s="123">
        <f t="shared" si="7"/>
        <v>15.125222619464997</v>
      </c>
      <c r="L26" s="117">
        <f t="shared" si="8"/>
        <v>14.727772819464997</v>
      </c>
      <c r="M26" s="103"/>
      <c r="N26" s="124">
        <f t="shared" si="4"/>
        <v>0.65714285714285714</v>
      </c>
      <c r="O26" s="124">
        <f t="shared" si="5"/>
        <v>0.59505072097889999</v>
      </c>
      <c r="P26" s="117">
        <f t="shared" si="6"/>
        <v>1.6554697229207431E-2</v>
      </c>
      <c r="X26" s="114">
        <f t="shared" si="0"/>
        <v>0.65714285714285714</v>
      </c>
      <c r="Y26" s="114">
        <f t="shared" si="1"/>
        <v>0.65714285714285714</v>
      </c>
      <c r="Z26" s="114">
        <f t="shared" si="2"/>
        <v>0.59505072097889999</v>
      </c>
      <c r="AA26" s="114">
        <f t="shared" si="3"/>
        <v>6.2092136163957146E-2</v>
      </c>
    </row>
    <row r="27" spans="1:27" x14ac:dyDescent="0.25">
      <c r="A27" s="106" t="s">
        <v>67</v>
      </c>
      <c r="B27" s="107" t="s">
        <v>36</v>
      </c>
      <c r="C27" s="112">
        <v>0.75883447500000001</v>
      </c>
      <c r="D27" s="112">
        <v>0.5007369710748546</v>
      </c>
      <c r="E27" s="112">
        <v>0.42085535686958664</v>
      </c>
      <c r="F27" s="112">
        <v>0.39645452000000003</v>
      </c>
      <c r="G27" s="112">
        <v>0.80132440000000005</v>
      </c>
      <c r="H27" s="113">
        <v>0.54313021306127651</v>
      </c>
      <c r="I27" s="109"/>
      <c r="J27" s="122">
        <v>24</v>
      </c>
      <c r="K27" s="123">
        <f t="shared" si="7"/>
        <v>15.926317419464997</v>
      </c>
      <c r="L27" s="117">
        <f t="shared" si="8"/>
        <v>15.525770019464996</v>
      </c>
      <c r="M27" s="103"/>
      <c r="N27" s="124">
        <f t="shared" si="4"/>
        <v>0.68571428571428572</v>
      </c>
      <c r="O27" s="124">
        <f t="shared" si="5"/>
        <v>0.62656708608013045</v>
      </c>
      <c r="P27" s="117">
        <f t="shared" si="6"/>
        <v>1.7451682957986155E-2</v>
      </c>
      <c r="X27" s="114">
        <f t="shared" si="0"/>
        <v>0.68571428571428572</v>
      </c>
      <c r="Y27" s="114">
        <f t="shared" si="1"/>
        <v>0.68571428571428572</v>
      </c>
      <c r="Z27" s="114">
        <f t="shared" si="2"/>
        <v>0.62656708608013045</v>
      </c>
      <c r="AA27" s="114">
        <f t="shared" si="3"/>
        <v>5.9147199634155267E-2</v>
      </c>
    </row>
    <row r="28" spans="1:27" x14ac:dyDescent="0.25">
      <c r="A28" s="106" t="s">
        <v>50</v>
      </c>
      <c r="B28" s="107" t="s">
        <v>18</v>
      </c>
      <c r="C28" s="112">
        <v>0.69403934</v>
      </c>
      <c r="D28" s="112">
        <v>0.23468653179393315</v>
      </c>
      <c r="E28" s="112">
        <v>0.36578880114193152</v>
      </c>
      <c r="F28" s="112">
        <v>0.71006698000000001</v>
      </c>
      <c r="G28" s="112">
        <v>0.8177388000000001</v>
      </c>
      <c r="H28" s="113">
        <v>0.59496552500922861</v>
      </c>
      <c r="I28" s="109"/>
      <c r="J28" s="122">
        <v>25</v>
      </c>
      <c r="K28" s="123">
        <f t="shared" si="7"/>
        <v>16.727641819464996</v>
      </c>
      <c r="L28" s="117">
        <f t="shared" si="8"/>
        <v>16.326979619464996</v>
      </c>
      <c r="M28" s="103"/>
      <c r="N28" s="124">
        <f t="shared" si="4"/>
        <v>0.7142857142857143</v>
      </c>
      <c r="O28" s="124">
        <f t="shared" si="5"/>
        <v>0.65809248401670972</v>
      </c>
      <c r="P28" s="117">
        <f t="shared" si="6"/>
        <v>1.8352279572812009E-2</v>
      </c>
      <c r="X28" s="114">
        <f t="shared" si="0"/>
        <v>0.7142857142857143</v>
      </c>
      <c r="Y28" s="114">
        <f t="shared" si="1"/>
        <v>0.7142857142857143</v>
      </c>
      <c r="Z28" s="114">
        <f t="shared" si="2"/>
        <v>0.65809248401670972</v>
      </c>
      <c r="AA28" s="114">
        <f t="shared" si="3"/>
        <v>5.6193230269004579E-2</v>
      </c>
    </row>
    <row r="29" spans="1:27" x14ac:dyDescent="0.25">
      <c r="A29" s="106" t="s">
        <v>66</v>
      </c>
      <c r="B29" s="107" t="s">
        <v>35</v>
      </c>
      <c r="C29" s="112">
        <v>0.82751446499999992</v>
      </c>
      <c r="D29" s="112">
        <v>0.83433416000000005</v>
      </c>
      <c r="E29" s="112">
        <v>0.4986556296843897</v>
      </c>
      <c r="F29" s="112">
        <v>0.53861495999999998</v>
      </c>
      <c r="G29" s="112">
        <v>0.82978040000000008</v>
      </c>
      <c r="H29" s="113">
        <v>0.64832357791530681</v>
      </c>
      <c r="I29" s="109"/>
      <c r="J29" s="122">
        <v>26</v>
      </c>
      <c r="K29" s="123">
        <f t="shared" si="7"/>
        <v>17.545380619464996</v>
      </c>
      <c r="L29" s="117">
        <f t="shared" si="8"/>
        <v>17.136511219464996</v>
      </c>
      <c r="M29" s="103"/>
      <c r="N29" s="124">
        <f t="shared" si="4"/>
        <v>0.74285714285714288</v>
      </c>
      <c r="O29" s="124">
        <f t="shared" si="5"/>
        <v>0.69026365099749909</v>
      </c>
      <c r="P29" s="117">
        <f t="shared" si="6"/>
        <v>1.9262230500202988E-2</v>
      </c>
      <c r="X29" s="114">
        <f t="shared" si="0"/>
        <v>0.74285714285714288</v>
      </c>
      <c r="Y29" s="114">
        <f t="shared" si="1"/>
        <v>0.74285714285714288</v>
      </c>
      <c r="Z29" s="114">
        <f t="shared" si="2"/>
        <v>0.69026365099749909</v>
      </c>
      <c r="AA29" s="114">
        <f t="shared" si="3"/>
        <v>5.2593491859643793E-2</v>
      </c>
    </row>
    <row r="30" spans="1:27" x14ac:dyDescent="0.25">
      <c r="A30" s="106" t="s">
        <v>54</v>
      </c>
      <c r="B30" s="107" t="s">
        <v>22</v>
      </c>
      <c r="C30" s="112">
        <v>0.71726882500000011</v>
      </c>
      <c r="D30" s="112">
        <v>0.39685516974894702</v>
      </c>
      <c r="E30" s="112">
        <v>0.27364417443448935</v>
      </c>
      <c r="F30" s="112">
        <v>0.52456413999999996</v>
      </c>
      <c r="G30" s="112">
        <v>0.83696920000000008</v>
      </c>
      <c r="H30" s="113">
        <v>0.53077554230719604</v>
      </c>
      <c r="I30" s="109"/>
      <c r="J30" s="122">
        <v>27</v>
      </c>
      <c r="K30" s="123">
        <f t="shared" si="7"/>
        <v>18.375161019464997</v>
      </c>
      <c r="L30" s="117">
        <f t="shared" si="8"/>
        <v>17.960270819464995</v>
      </c>
      <c r="M30" s="103"/>
      <c r="N30" s="124">
        <f t="shared" si="4"/>
        <v>0.77142857142857146</v>
      </c>
      <c r="O30" s="124">
        <f t="shared" si="5"/>
        <v>0.7229085539980491</v>
      </c>
      <c r="P30" s="117">
        <f t="shared" si="6"/>
        <v>2.0188174357079265E-2</v>
      </c>
      <c r="X30" s="114">
        <f t="shared" si="0"/>
        <v>0.77142857142857146</v>
      </c>
      <c r="Y30" s="114">
        <f t="shared" si="1"/>
        <v>0.77142857142857146</v>
      </c>
      <c r="Z30" s="114">
        <f t="shared" si="2"/>
        <v>0.7229085539980491</v>
      </c>
      <c r="AA30" s="114">
        <f t="shared" si="3"/>
        <v>4.8520017430522366E-2</v>
      </c>
    </row>
    <row r="31" spans="1:27" ht="30" x14ac:dyDescent="0.25">
      <c r="A31" s="106" t="s">
        <v>55</v>
      </c>
      <c r="B31" s="107" t="s">
        <v>23</v>
      </c>
      <c r="C31" s="112">
        <v>0.62265356000000005</v>
      </c>
      <c r="D31" s="112">
        <v>0.59150555506206037</v>
      </c>
      <c r="E31" s="112">
        <v>0.43180370663506984</v>
      </c>
      <c r="F31" s="112">
        <v>0.46840176</v>
      </c>
      <c r="G31" s="112">
        <v>0.83708879999999997</v>
      </c>
      <c r="H31" s="113">
        <v>0.55076778302622453</v>
      </c>
      <c r="I31" s="109"/>
      <c r="J31" s="122">
        <v>28</v>
      </c>
      <c r="K31" s="123">
        <f t="shared" si="7"/>
        <v>19.212130219464996</v>
      </c>
      <c r="L31" s="117">
        <f t="shared" si="8"/>
        <v>18.793645619464996</v>
      </c>
      <c r="M31" s="103"/>
      <c r="N31" s="124">
        <f t="shared" si="4"/>
        <v>0.8</v>
      </c>
      <c r="O31" s="124">
        <f t="shared" si="5"/>
        <v>0.75583627601757131</v>
      </c>
      <c r="P31" s="117">
        <f t="shared" si="6"/>
        <v>2.11249261430803E-2</v>
      </c>
      <c r="X31" s="114">
        <f t="shared" si="0"/>
        <v>0.8</v>
      </c>
      <c r="Y31" s="114">
        <f t="shared" si="1"/>
        <v>0.8</v>
      </c>
      <c r="Z31" s="114">
        <f t="shared" si="2"/>
        <v>0.75583627601757131</v>
      </c>
      <c r="AA31" s="114">
        <f t="shared" si="3"/>
        <v>4.4163723982428738E-2</v>
      </c>
    </row>
    <row r="32" spans="1:27" x14ac:dyDescent="0.25">
      <c r="A32" s="106" t="s">
        <v>63</v>
      </c>
      <c r="B32" s="107" t="s">
        <v>32</v>
      </c>
      <c r="C32" s="112">
        <v>0.69083377000000001</v>
      </c>
      <c r="D32" s="112">
        <v>0.25034693414936143</v>
      </c>
      <c r="E32" s="112">
        <v>0.29839336584164322</v>
      </c>
      <c r="F32" s="112">
        <v>0.52199967999999997</v>
      </c>
      <c r="G32" s="112">
        <v>0.84225240000000001</v>
      </c>
      <c r="H32" s="113">
        <v>0.5225975953944918</v>
      </c>
      <c r="I32" s="109"/>
      <c r="J32" s="122">
        <v>29</v>
      </c>
      <c r="K32" s="123">
        <f t="shared" si="7"/>
        <v>20.049219019464996</v>
      </c>
      <c r="L32" s="117">
        <f t="shared" si="8"/>
        <v>19.630674619464997</v>
      </c>
      <c r="M32" s="103"/>
      <c r="N32" s="124">
        <f t="shared" si="4"/>
        <v>0.82857142857142863</v>
      </c>
      <c r="O32" s="124">
        <f t="shared" si="5"/>
        <v>0.78876870329453141</v>
      </c>
      <c r="P32" s="117">
        <f t="shared" si="6"/>
        <v>2.2065785418744332E-2</v>
      </c>
      <c r="X32" s="114">
        <f t="shared" si="0"/>
        <v>0.82857142857142863</v>
      </c>
      <c r="Y32" s="114">
        <f t="shared" si="1"/>
        <v>0.82857142857142863</v>
      </c>
      <c r="Z32" s="114">
        <f t="shared" si="2"/>
        <v>0.78876870329453141</v>
      </c>
      <c r="AA32" s="114">
        <f t="shared" si="3"/>
        <v>3.9802725276897211E-2</v>
      </c>
    </row>
    <row r="33" spans="1:27" x14ac:dyDescent="0.25">
      <c r="A33" s="106" t="s">
        <v>69</v>
      </c>
      <c r="B33" s="107" t="s">
        <v>38</v>
      </c>
      <c r="C33" s="112">
        <v>0.56374321500000002</v>
      </c>
      <c r="D33" s="112">
        <v>0.26198498977661355</v>
      </c>
      <c r="E33" s="112">
        <v>0.50492180007202925</v>
      </c>
      <c r="F33" s="112">
        <v>0.393015</v>
      </c>
      <c r="G33" s="112">
        <v>0.87976279999999996</v>
      </c>
      <c r="H33" s="113">
        <v>0.52049124365134891</v>
      </c>
      <c r="I33" s="109"/>
      <c r="J33" s="122">
        <v>30</v>
      </c>
      <c r="K33" s="123">
        <f t="shared" si="7"/>
        <v>20.891471419464995</v>
      </c>
      <c r="L33" s="117">
        <f t="shared" si="8"/>
        <v>20.470345219464996</v>
      </c>
      <c r="M33" s="103"/>
      <c r="N33" s="124">
        <f t="shared" si="4"/>
        <v>0.8571428571428571</v>
      </c>
      <c r="O33" s="124">
        <f t="shared" si="5"/>
        <v>0.8219042749469595</v>
      </c>
      <c r="P33" s="117">
        <f t="shared" si="6"/>
        <v>2.300961397487836E-2</v>
      </c>
      <c r="X33" s="114">
        <f t="shared" si="0"/>
        <v>0.8571428571428571</v>
      </c>
      <c r="Y33" s="114">
        <f t="shared" si="1"/>
        <v>0.8571428571428571</v>
      </c>
      <c r="Z33" s="114">
        <f t="shared" si="2"/>
        <v>0.8219042749469595</v>
      </c>
      <c r="AA33" s="114">
        <f t="shared" si="3"/>
        <v>3.5238582195897594E-2</v>
      </c>
    </row>
    <row r="34" spans="1:27" x14ac:dyDescent="0.25">
      <c r="A34" s="106" t="s">
        <v>56</v>
      </c>
      <c r="B34" s="107" t="s">
        <v>24</v>
      </c>
      <c r="C34" s="112">
        <v>0.71719686999999999</v>
      </c>
      <c r="D34" s="112">
        <v>0.43259091447014619</v>
      </c>
      <c r="E34" s="112">
        <v>0.33874576788167188</v>
      </c>
      <c r="F34" s="112">
        <v>0.64271577999999996</v>
      </c>
      <c r="G34" s="112">
        <v>0.88886240000000005</v>
      </c>
      <c r="H34" s="113">
        <v>0.59469594032360695</v>
      </c>
      <c r="I34" s="109"/>
      <c r="J34" s="122">
        <v>31</v>
      </c>
      <c r="K34" s="123">
        <f t="shared" si="7"/>
        <v>21.771234219464993</v>
      </c>
      <c r="L34" s="117">
        <f t="shared" si="8"/>
        <v>21.331352819464996</v>
      </c>
      <c r="M34" s="103"/>
      <c r="N34" s="124">
        <f t="shared" si="4"/>
        <v>0.88571428571428568</v>
      </c>
      <c r="O34" s="124">
        <f t="shared" si="5"/>
        <v>0.85651556640370186</v>
      </c>
      <c r="P34" s="117">
        <f t="shared" si="6"/>
        <v>2.3977426305009458E-2</v>
      </c>
      <c r="X34" s="114">
        <f t="shared" si="0"/>
        <v>0.88571428571428568</v>
      </c>
      <c r="Y34" s="114">
        <f t="shared" si="1"/>
        <v>0.88571428571428568</v>
      </c>
      <c r="Z34" s="114">
        <f t="shared" si="2"/>
        <v>0.85651556640370186</v>
      </c>
      <c r="AA34" s="114">
        <f t="shared" si="3"/>
        <v>2.9198719310583821E-2</v>
      </c>
    </row>
    <row r="35" spans="1:27" x14ac:dyDescent="0.25">
      <c r="A35" s="106" t="s">
        <v>15</v>
      </c>
      <c r="B35" s="107" t="s">
        <v>16</v>
      </c>
      <c r="C35" s="112">
        <v>0.77779562999999996</v>
      </c>
      <c r="D35" s="112">
        <v>0.58237254460535748</v>
      </c>
      <c r="E35" s="112">
        <v>0.17460559763262029</v>
      </c>
      <c r="F35" s="112">
        <v>0.88206160000000011</v>
      </c>
      <c r="G35" s="112">
        <v>0.90363199999999999</v>
      </c>
      <c r="H35" s="113">
        <v>0.64641076373250206</v>
      </c>
      <c r="I35" s="109"/>
      <c r="J35" s="122">
        <v>32</v>
      </c>
      <c r="K35" s="123">
        <f t="shared" si="7"/>
        <v>22.660096619464994</v>
      </c>
      <c r="L35" s="117">
        <f t="shared" si="8"/>
        <v>22.215665419464994</v>
      </c>
      <c r="M35" s="103"/>
      <c r="N35" s="124">
        <f t="shared" si="4"/>
        <v>0.91428571428571426</v>
      </c>
      <c r="O35" s="124">
        <f t="shared" si="5"/>
        <v>0.89148485084189311</v>
      </c>
      <c r="P35" s="117">
        <f t="shared" si="6"/>
        <v>2.4971434532079936E-2</v>
      </c>
      <c r="X35" s="114">
        <f t="shared" si="0"/>
        <v>0.91428571428571426</v>
      </c>
      <c r="Y35" s="114">
        <f t="shared" si="1"/>
        <v>0.91428571428571426</v>
      </c>
      <c r="Z35" s="114">
        <f t="shared" si="2"/>
        <v>0.89148485084189311</v>
      </c>
      <c r="AA35" s="114">
        <f t="shared" si="3"/>
        <v>2.2800863443821151E-2</v>
      </c>
    </row>
    <row r="36" spans="1:27" x14ac:dyDescent="0.25">
      <c r="A36" s="106" t="s">
        <v>58</v>
      </c>
      <c r="B36" s="107" t="s">
        <v>26</v>
      </c>
      <c r="C36" s="112">
        <v>0.70440694500000012</v>
      </c>
      <c r="D36" s="112">
        <v>0.36417864</v>
      </c>
      <c r="E36" s="112">
        <v>0.38466852000000001</v>
      </c>
      <c r="F36" s="112">
        <v>0.52614430000000001</v>
      </c>
      <c r="G36" s="112">
        <v>0.92273360000000004</v>
      </c>
      <c r="H36" s="113">
        <v>0.5696317692670001</v>
      </c>
      <c r="I36" s="109"/>
      <c r="J36" s="122">
        <v>33</v>
      </c>
      <c r="K36" s="123">
        <f t="shared" si="7"/>
        <v>23.563728619464996</v>
      </c>
      <c r="L36" s="117">
        <f t="shared" si="8"/>
        <v>23.111912619464995</v>
      </c>
      <c r="M36" s="103"/>
      <c r="N36" s="124">
        <f t="shared" si="4"/>
        <v>0.94285714285714284</v>
      </c>
      <c r="O36" s="124">
        <f t="shared" si="5"/>
        <v>0.92703519523203903</v>
      </c>
      <c r="P36" s="117">
        <f t="shared" si="6"/>
        <v>2.5978857801056181E-2</v>
      </c>
      <c r="X36" s="114">
        <f t="shared" si="0"/>
        <v>0.94285714285714284</v>
      </c>
      <c r="Y36" s="114">
        <f t="shared" si="1"/>
        <v>0.94285714285714284</v>
      </c>
      <c r="Z36" s="114">
        <f t="shared" si="2"/>
        <v>0.92703519523203903</v>
      </c>
      <c r="AA36" s="114">
        <f t="shared" si="3"/>
        <v>1.5821947625103805E-2</v>
      </c>
    </row>
    <row r="37" spans="1:27" ht="35.25" customHeight="1" x14ac:dyDescent="0.25">
      <c r="A37" s="106" t="s">
        <v>68</v>
      </c>
      <c r="B37" s="107" t="s">
        <v>37</v>
      </c>
      <c r="C37" s="112">
        <v>0.80846217000000009</v>
      </c>
      <c r="D37" s="112">
        <v>0.841294202207021</v>
      </c>
      <c r="E37" s="112">
        <v>0.30258397602403653</v>
      </c>
      <c r="F37" s="112">
        <v>0.52107358000000004</v>
      </c>
      <c r="G37" s="112">
        <v>0.93191320000000011</v>
      </c>
      <c r="H37" s="113">
        <v>0.59924780126523858</v>
      </c>
      <c r="I37" s="109"/>
      <c r="J37" s="122">
        <v>34</v>
      </c>
      <c r="K37" s="123">
        <f t="shared" si="7"/>
        <v>24.486462219464997</v>
      </c>
      <c r="L37" s="117">
        <f t="shared" si="8"/>
        <v>24.025095419464996</v>
      </c>
      <c r="M37" s="103"/>
      <c r="N37" s="124">
        <f t="shared" si="4"/>
        <v>0.97142857142857142</v>
      </c>
      <c r="O37" s="124">
        <f t="shared" si="5"/>
        <v>0.96333702746060024</v>
      </c>
      <c r="P37" s="117">
        <f t="shared" si="6"/>
        <v>2.7005317467037711E-2</v>
      </c>
      <c r="X37" s="114">
        <f t="shared" si="0"/>
        <v>0.97142857142857142</v>
      </c>
      <c r="Y37" s="114">
        <f t="shared" si="1"/>
        <v>0.97142857142857142</v>
      </c>
      <c r="Z37" s="114">
        <f t="shared" si="2"/>
        <v>0.96333702746060024</v>
      </c>
      <c r="AA37" s="114">
        <f t="shared" si="3"/>
        <v>8.091543967971182E-3</v>
      </c>
    </row>
    <row r="38" spans="1:27" x14ac:dyDescent="0.25">
      <c r="J38" s="122">
        <v>35</v>
      </c>
      <c r="K38" s="123">
        <f t="shared" si="7"/>
        <v>25.418375419464997</v>
      </c>
      <c r="L38" s="117">
        <f t="shared" si="8"/>
        <v>24.952418819464995</v>
      </c>
      <c r="M38" s="103"/>
      <c r="N38" s="124">
        <f t="shared" si="4"/>
        <v>1</v>
      </c>
      <c r="O38" s="124">
        <f t="shared" si="5"/>
        <v>1</v>
      </c>
      <c r="P38" s="117">
        <f t="shared" si="6"/>
        <v>2.8047671820865726E-2</v>
      </c>
      <c r="X38" s="114">
        <f t="shared" si="0"/>
        <v>1</v>
      </c>
      <c r="Y38" s="114">
        <f t="shared" si="1"/>
        <v>1</v>
      </c>
      <c r="Z38" s="114">
        <f t="shared" si="2"/>
        <v>1</v>
      </c>
      <c r="AA38" s="114">
        <f t="shared" si="3"/>
        <v>0</v>
      </c>
    </row>
    <row r="39" spans="1:27" x14ac:dyDescent="0.25">
      <c r="L39" s="117">
        <f>SUM(L4:L38)</f>
        <v>399.72581187683551</v>
      </c>
      <c r="P39" s="117">
        <f>SUM(P4:P38)</f>
        <v>0.44931028414386698</v>
      </c>
    </row>
    <row r="41" spans="1:27" x14ac:dyDescent="0.25">
      <c r="K41" s="115" t="s">
        <v>162</v>
      </c>
      <c r="L41" s="115">
        <f>1-(L39/(J38*K38/2))</f>
        <v>0.10137943171226615</v>
      </c>
      <c r="O41" s="115" t="s">
        <v>162</v>
      </c>
      <c r="P41" s="115">
        <f>1-P39/0.5</f>
        <v>0.10137943171226604</v>
      </c>
      <c r="Q41" s="126"/>
    </row>
    <row r="43" spans="1:27" x14ac:dyDescent="0.25">
      <c r="K43" t="s">
        <v>165</v>
      </c>
      <c r="L43">
        <f>(J38*K38/2)-L39</f>
        <v>45.09575796380193</v>
      </c>
    </row>
    <row r="44" spans="1:27" x14ac:dyDescent="0.25">
      <c r="L44">
        <f>L43/(J38*K38/2)</f>
        <v>0.10137943171226614</v>
      </c>
    </row>
    <row r="46" spans="1:27" x14ac:dyDescent="0.25">
      <c r="L46">
        <f>L43/(J38*K38/2)</f>
        <v>0.10137943171226614</v>
      </c>
    </row>
  </sheetData>
  <autoFilter ref="A2:H2" xr:uid="{9C6E2AFD-5DB2-4E78-BEC8-FAAC984501F1}">
    <filterColumn colId="0" showButton="0"/>
    <sortState xmlns:xlrd2="http://schemas.microsoft.com/office/spreadsheetml/2017/richdata2" ref="A3:H37">
      <sortCondition ref="G2"/>
    </sortState>
  </autoFilter>
  <mergeCells count="1">
    <mergeCell ref="A2:B2"/>
  </mergeCells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B192-222C-4F99-A0CA-4BDB7444CA17}">
  <dimension ref="B3:C9"/>
  <sheetViews>
    <sheetView workbookViewId="0">
      <selection activeCell="K31" sqref="K31"/>
    </sheetView>
  </sheetViews>
  <sheetFormatPr defaultRowHeight="15" x14ac:dyDescent="0.25"/>
  <cols>
    <col min="2" max="2" width="21.7109375" bestFit="1" customWidth="1"/>
    <col min="3" max="3" width="16.28515625" customWidth="1"/>
  </cols>
  <sheetData>
    <row r="3" spans="2:3" x14ac:dyDescent="0.25">
      <c r="C3" t="s">
        <v>162</v>
      </c>
    </row>
    <row r="4" spans="2:3" x14ac:dyDescent="0.25">
      <c r="B4" t="s">
        <v>157</v>
      </c>
      <c r="C4" s="126">
        <v>9.69E-2</v>
      </c>
    </row>
    <row r="5" spans="2:3" x14ac:dyDescent="0.25">
      <c r="B5" t="s">
        <v>1</v>
      </c>
      <c r="C5" s="126">
        <v>0.14130000000000001</v>
      </c>
    </row>
    <row r="6" spans="2:3" x14ac:dyDescent="0.25">
      <c r="B6" t="s">
        <v>6</v>
      </c>
      <c r="C6" s="126">
        <v>0.3377</v>
      </c>
    </row>
    <row r="7" spans="2:3" x14ac:dyDescent="0.25">
      <c r="B7" t="s">
        <v>149</v>
      </c>
      <c r="C7" s="126">
        <v>0.18099999999999999</v>
      </c>
    </row>
    <row r="8" spans="2:3" x14ac:dyDescent="0.25">
      <c r="B8" t="s">
        <v>10</v>
      </c>
      <c r="C8" s="126">
        <v>0.13550000000000001</v>
      </c>
    </row>
    <row r="9" spans="2:3" x14ac:dyDescent="0.25">
      <c r="B9" t="s">
        <v>150</v>
      </c>
      <c r="C9" s="126">
        <v>0.1014</v>
      </c>
    </row>
  </sheetData>
  <pageMargins left="0.511811024" right="0.511811024" top="0.78740157499999996" bottom="0.78740157499999996" header="0.31496062000000002" footer="0.31496062000000002"/>
  <drawing r:id="rId1"/>
</worksheet>
</file>

<file path=docMetadata/LabelInfo.xml><?xml version="1.0" encoding="utf-8"?>
<clbl:labelList xmlns:clbl="http://schemas.microsoft.com/office/2020/mipLabelMetadata">
  <clbl:label id="{d5ca897c-8647-4d93-9497-2f80cd11388f}" enabled="1" method="Standard" siteId="{2a7030a7-3850-453e-96b7-cd5f58ba9ec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Explicação indicadores</vt:lpstr>
      <vt:lpstr>Resultados</vt:lpstr>
      <vt:lpstr>Pesos</vt:lpstr>
      <vt:lpstr>Resultados IMAP</vt:lpstr>
      <vt:lpstr>Resultados IMAP - ranking</vt:lpstr>
      <vt:lpstr>Lorenz IMAP</vt:lpstr>
      <vt:lpstr>Lorenz Caminhabilidade</vt:lpstr>
      <vt:lpstr>Lorenz Ciclabilidade</vt:lpstr>
      <vt:lpstr>Lorenz Transp.Público</vt:lpstr>
      <vt:lpstr>Lorenz Prox.Territorial</vt:lpstr>
      <vt:lpstr>Lorenz Aspectos Ambientais</vt:lpstr>
      <vt:lpstr>Comparativo Gini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Priscilla Emrich</dc:creator>
  <cp:lastModifiedBy>Priscilla Emrich</cp:lastModifiedBy>
  <dcterms:created xsi:type="dcterms:W3CDTF">2026-02-17T14:14:13Z</dcterms:created>
  <dcterms:modified xsi:type="dcterms:W3CDTF">2026-07-01T02:46:34Z</dcterms:modified>
</cp:coreProperties>
</file>